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13_ncr:1_{0429C678-A6E8-4573-9A41-9EEEA71B2C7E}" xr6:coauthVersionLast="47" xr6:coauthVersionMax="47" xr10:uidLastSave="{00000000-0000-0000-0000-000000000000}"/>
  <bookViews>
    <workbookView xWindow="-120" yWindow="-120" windowWidth="29040" windowHeight="15840" xr2:uid="{00000000-000D-0000-FFFF-FFFF00000000}"/>
  </bookViews>
  <sheets>
    <sheet name="ProjectSchedule" sheetId="11" r:id="rId1"/>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8" i="11" l="1"/>
  <c r="H69" i="11"/>
  <c r="H70" i="11"/>
  <c r="H71" i="11"/>
  <c r="H72" i="11"/>
  <c r="H73" i="11"/>
  <c r="H63" i="11"/>
  <c r="H64" i="11"/>
  <c r="H65" i="11"/>
  <c r="H67" i="11"/>
  <c r="H10" i="11"/>
  <c r="H11" i="11"/>
  <c r="H12" i="11"/>
  <c r="H13" i="11"/>
  <c r="E9" i="11"/>
  <c r="F9" i="11" s="1"/>
  <c r="H7" i="11"/>
  <c r="H22" i="11" l="1"/>
  <c r="I5" i="11"/>
  <c r="H62" i="11"/>
  <c r="H31" i="11"/>
  <c r="H30" i="11"/>
  <c r="H29" i="11"/>
  <c r="H28" i="11"/>
  <c r="H26" i="11"/>
  <c r="H21" i="11"/>
  <c r="H20" i="11"/>
  <c r="H14" i="11"/>
  <c r="H8" i="11"/>
  <c r="I6" i="11" l="1"/>
  <c r="H9" i="11" l="1"/>
  <c r="H27" i="11"/>
  <c r="H25" i="11"/>
  <c r="H15" i="11"/>
  <c r="J5" i="11"/>
  <c r="K5" i="11" s="1"/>
  <c r="L5" i="11" s="1"/>
  <c r="M5" i="11" s="1"/>
  <c r="N5" i="11" s="1"/>
  <c r="O5" i="11" s="1"/>
  <c r="P5" i="11" s="1"/>
  <c r="I4" i="11"/>
  <c r="H23" i="11" l="1"/>
  <c r="H24" i="11"/>
  <c r="H16" i="1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T6" i="11" l="1"/>
  <c r="P6" i="11" l="1"/>
  <c r="R6" i="11" l="1"/>
  <c r="S6" i="11" l="1"/>
  <c r="AR6" i="11"/>
  <c r="AU5" i="11" s="1"/>
  <c r="AV5" i="11" s="1"/>
  <c r="AQ6" i="11"/>
  <c r="AP6" i="11"/>
  <c r="AO6" i="11"/>
  <c r="AN6" i="11"/>
  <c r="AM6" i="11"/>
  <c r="AL6" i="11"/>
  <c r="AK6" i="11"/>
  <c r="AJ6" i="11"/>
  <c r="AI6" i="11"/>
  <c r="AH6" i="11"/>
  <c r="AG6" i="11"/>
  <c r="AF6" i="11"/>
  <c r="AE6" i="11"/>
  <c r="AD6" i="11"/>
  <c r="AC6" i="11"/>
  <c r="AB6" i="11"/>
  <c r="AA6" i="11"/>
  <c r="Z6" i="11"/>
  <c r="Y6" i="11"/>
  <c r="X6" i="11"/>
  <c r="W6" i="11"/>
  <c r="V6" i="11"/>
  <c r="U6" i="11"/>
  <c r="T6" i="11"/>
  <c r="Q6" i="11"/>
  <c r="AW5" i="11" l="1"/>
  <c r="AX5" i="11" s="1"/>
  <c r="AV6" i="11"/>
  <c r="AU6" i="11"/>
  <c r="AW6" i="11"/>
  <c r="AY5" i="11" l="1"/>
  <c r="AZ5" i="11" l="1"/>
  <c r="AY6" i="11"/>
  <c r="AY4" i="11"/>
  <c r="AX6" i="11" s="1"/>
  <c r="BA5" i="11" l="1"/>
  <c r="AZ6" i="11"/>
  <c r="BB5" i="11" l="1"/>
  <c r="BA6" i="11"/>
  <c r="BB6" i="11" l="1"/>
  <c r="BC5" i="11"/>
  <c r="BD5" i="11" l="1"/>
  <c r="BC6" i="11"/>
  <c r="BE5" i="11" l="1"/>
  <c r="BD6" i="11"/>
  <c r="BF5" i="11" l="1"/>
  <c r="BF4" i="11" l="1"/>
  <c r="BE6" i="11" s="1"/>
  <c r="BF6" i="11"/>
  <c r="BG5" i="11"/>
  <c r="BG6" i="11" l="1"/>
  <c r="BH5" i="11"/>
  <c r="BI5" i="11" l="1"/>
  <c r="BH6" i="11"/>
  <c r="BJ5" i="11" l="1"/>
  <c r="BI6" i="11"/>
  <c r="BK5" i="11" l="1"/>
  <c r="BJ6" i="11"/>
  <c r="BL5" i="11" l="1"/>
  <c r="BL6" i="11" s="1"/>
  <c r="BK6" i="11"/>
</calcChain>
</file>

<file path=xl/sharedStrings.xml><?xml version="1.0" encoding="utf-8"?>
<sst xmlns="http://schemas.openxmlformats.org/spreadsheetml/2006/main" count="121" uniqueCount="77">
  <si>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</si>
  <si>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NUTRIBALANCE</t>
  </si>
  <si>
    <t>Escriba el nombre de la compañía en la celda B2.</t>
  </si>
  <si>
    <t>Escriba el nombre del responsable del proyecto en la celda B3. Escriba la fecha de comienzo del proyecto en la celda E3. Inicio del proyecto: la etiqueta se encuentra en la celda C3.</t>
  </si>
  <si>
    <t>Emanuel Carrillo Soto
Kevin Zamora Soto</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</si>
  <si>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</si>
  <si>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</si>
  <si>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</si>
  <si>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</si>
  <si>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</si>
  <si>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</si>
  <si>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</si>
  <si>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</si>
  <si>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</si>
  <si>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</si>
  <si>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</si>
  <si>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</si>
  <si>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</si>
  <si>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Analisis del proyecto</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</si>
  <si>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</si>
  <si>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Entregable #1</t>
  </si>
  <si>
    <t>Kevin Z y Emanuel C</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</si>
  <si>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</si>
  <si>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</si>
  <si>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Gestión de usuarios</t>
  </si>
  <si>
    <t>Crear clase Usuario</t>
  </si>
  <si>
    <t>Kevin Z</t>
  </si>
  <si>
    <t>Crear formulario de registro</t>
  </si>
  <si>
    <t>Validar campos obligatorios</t>
  </si>
  <si>
    <t>Emanuel C</t>
  </si>
  <si>
    <t>Guardar en JSON</t>
  </si>
  <si>
    <t>Edición de usuario</t>
  </si>
  <si>
    <t>Bloque de título fase de ejemplo</t>
  </si>
  <si>
    <t>Gestión de alimentos</t>
  </si>
  <si>
    <t>Crear clase Alimento</t>
  </si>
  <si>
    <t>Crear formulario alimento</t>
  </si>
  <si>
    <t>Validar macros</t>
  </si>
  <si>
    <t>Guardar alimento JSON</t>
  </si>
  <si>
    <t>Edición de alimentos</t>
  </si>
  <si>
    <t>Gestión de menús</t>
  </si>
  <si>
    <t>Crear clase Menu</t>
  </si>
  <si>
    <t>Asociar alimentos</t>
  </si>
  <si>
    <t>Registrar fecha</t>
  </si>
  <si>
    <t>Guardar menú</t>
  </si>
  <si>
    <t>Buscar por fecha</t>
  </si>
  <si>
    <t>Interfaz gráfica</t>
  </si>
  <si>
    <t>Diseño de interfaz</t>
  </si>
  <si>
    <t>Diseño en canvas</t>
  </si>
  <si>
    <t>Implementación WinForms</t>
  </si>
  <si>
    <t>Cálculo nutricional</t>
  </si>
  <si>
    <t>Crear clase cálculo</t>
  </si>
  <si>
    <t>Aplicar fórmula base</t>
  </si>
  <si>
    <t>Calcular calorías</t>
  </si>
  <si>
    <t>Calcular macros</t>
  </si>
  <si>
    <t>Consultas</t>
  </si>
  <si>
    <t>Consultar menú diario</t>
  </si>
  <si>
    <t>Calcular resumen</t>
  </si>
  <si>
    <t>Histórico mensual</t>
  </si>
  <si>
    <t>Carga de datos</t>
  </si>
  <si>
    <t>Leer archivos JSON</t>
  </si>
  <si>
    <t>Validar datos</t>
  </si>
  <si>
    <t>Cargar en memoria</t>
  </si>
  <si>
    <t>Pruebas de funcionamiento total</t>
  </si>
  <si>
    <t>Correcciones Sonar</t>
  </si>
  <si>
    <t>Documentación</t>
  </si>
  <si>
    <t>Esta es una fila vacía.</t>
  </si>
  <si>
    <t>Base de datos</t>
  </si>
  <si>
    <t>Diseño de base de datos</t>
  </si>
  <si>
    <t>Migración de repositorios</t>
  </si>
  <si>
    <t>Desarrollo de Interfaz Web</t>
  </si>
  <si>
    <t>Pruebas de controladores</t>
  </si>
  <si>
    <t>Migrar funciones a la Web</t>
  </si>
  <si>
    <t>Configurar proyecto Blazor</t>
  </si>
  <si>
    <t>Cierre de transición</t>
  </si>
  <si>
    <t>Módulo de Administrador</t>
  </si>
  <si>
    <t>Estadísticas de sistema</t>
  </si>
  <si>
    <t>Generar reportes 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</si>
</sst>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
    <numFmt numFmtId="168" formatCode="ddd\,\ yyyy\-mm\-dd;@"/>
    <numFmt numFmtId="169" formatCode="d\ &quot;de&quot;\ mmmm\ &quot;de&quot;\ yyyy"/>
  </numFmts>
  <fonts count="28"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u/>
      <sz val="11"/>
      <color theme="1"/>
      <name val="Calibri"/>
      <family val="2"/>
      <scheme val="minor"/>
    </font>
  </fonts>
  <fills count="44">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2" fillId="0" borderId="0"/>
    <xf numFmtId="165"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8" fontId="7" fillId="0" borderId="3">
      <alignment horizontal="center" vertical="center"/>
    </xf>
    <xf numFmtId="166"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15" fillId="0" borderId="0" applyNumberFormat="0" applyFill="0" applyBorder="0" applyAlignment="0" applyProtection="0"/>
    <xf numFmtId="164"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0" fontId="16" fillId="0" borderId="0" applyNumberFormat="0" applyFill="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9" fillId="15" borderId="0" applyNumberFormat="0" applyBorder="0" applyAlignment="0" applyProtection="0"/>
    <xf numFmtId="0" fontId="20" fillId="16" borderId="11" applyNumberFormat="0" applyAlignment="0" applyProtection="0"/>
    <xf numFmtId="0" fontId="21" fillId="17" borderId="12" applyNumberFormat="0" applyAlignment="0" applyProtection="0"/>
    <xf numFmtId="0" fontId="22" fillId="17" borderId="11" applyNumberFormat="0" applyAlignment="0" applyProtection="0"/>
    <xf numFmtId="0" fontId="23" fillId="0" borderId="13" applyNumberFormat="0" applyFill="0" applyAlignment="0" applyProtection="0"/>
    <xf numFmtId="0" fontId="24" fillId="18" borderId="14" applyNumberFormat="0" applyAlignment="0" applyProtection="0"/>
    <xf numFmtId="0" fontId="25" fillId="0" borderId="0" applyNumberFormat="0" applyFill="0" applyBorder="0" applyAlignment="0" applyProtection="0"/>
    <xf numFmtId="0" fontId="7" fillId="19" borderId="15" applyNumberFormat="0" applyFont="0" applyAlignment="0" applyProtection="0"/>
    <xf numFmtId="0" fontId="26" fillId="0" borderId="0" applyNumberFormat="0" applyFill="0" applyBorder="0" applyAlignment="0" applyProtection="0"/>
    <xf numFmtId="0" fontId="5" fillId="0" borderId="16" applyNumberFormat="0" applyFill="0" applyAlignment="0" applyProtection="0"/>
    <xf numFmtId="0" fontId="12"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12"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12"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12"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12" fillId="36"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12" fillId="40"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cellStyleXfs>
  <cellXfs count="70">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6" fillId="12" borderId="1" xfId="0" applyFont="1" applyFill="1" applyBorder="1" applyAlignment="1">
      <alignment horizontal="left" vertical="center" indent="1"/>
    </xf>
    <xf numFmtId="0" fontId="6" fillId="12" borderId="1" xfId="0" applyFont="1" applyFill="1" applyBorder="1" applyAlignment="1">
      <alignment horizontal="center" vertical="center" wrapText="1"/>
    </xf>
    <xf numFmtId="0" fontId="10" fillId="11" borderId="8" xfId="0" applyFont="1" applyFill="1" applyBorder="1" applyAlignment="1">
      <alignment horizontal="center" vertical="center" shrinkToFit="1"/>
    </xf>
    <xf numFmtId="0" fontId="4" fillId="0" borderId="2" xfId="0" applyFont="1" applyBorder="1" applyAlignment="1">
      <alignment horizontal="center" vertical="center"/>
    </xf>
    <xf numFmtId="0" fontId="5" fillId="7" borderId="2" xfId="0" applyFont="1" applyFill="1" applyBorder="1" applyAlignment="1">
      <alignment horizontal="left" vertical="center" indent="1"/>
    </xf>
    <xf numFmtId="9" fontId="4" fillId="7" borderId="2" xfId="2" applyFont="1" applyFill="1" applyBorder="1" applyAlignment="1">
      <alignment horizontal="center" vertical="center"/>
    </xf>
    <xf numFmtId="9" fontId="4" fillId="2" borderId="2" xfId="2" applyFont="1" applyFill="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5" fillId="4" borderId="2" xfId="0" applyFont="1" applyFill="1" applyBorder="1" applyAlignment="1">
      <alignment horizontal="left" vertical="center" indent="1"/>
    </xf>
    <xf numFmtId="9" fontId="4" fillId="4" borderId="2" xfId="2" applyFont="1" applyFill="1" applyBorder="1" applyAlignment="1">
      <alignment horizontal="center" vertical="center"/>
    </xf>
    <xf numFmtId="9" fontId="4" fillId="9"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12" fillId="0" borderId="0" xfId="3"/>
    <xf numFmtId="0" fontId="12" fillId="0" borderId="0" xfId="3" applyAlignment="1">
      <alignment wrapText="1"/>
    </xf>
    <xf numFmtId="0" fontId="0" fillId="0" borderId="0" xfId="0" applyAlignment="1">
      <alignment wrapText="1"/>
    </xf>
    <xf numFmtId="0" fontId="11" fillId="0" borderId="0" xfId="5" applyAlignment="1">
      <alignment horizontal="left"/>
    </xf>
    <xf numFmtId="0" fontId="8" fillId="0" borderId="0" xfId="6"/>
    <xf numFmtId="0" fontId="7" fillId="7" borderId="2" xfId="11" applyFill="1">
      <alignment horizontal="center" vertical="center"/>
    </xf>
    <xf numFmtId="0" fontId="7" fillId="2" borderId="2" xfId="11" applyFill="1">
      <alignment horizontal="center" vertical="center"/>
    </xf>
    <xf numFmtId="0" fontId="7" fillId="8" borderId="2" xfId="11" applyFill="1">
      <alignment horizontal="center" vertical="center"/>
    </xf>
    <xf numFmtId="0" fontId="7" fillId="3" borderId="2" xfId="11" applyFill="1">
      <alignment horizontal="center" vertical="center"/>
    </xf>
    <xf numFmtId="0" fontId="7" fillId="5" borderId="2" xfId="11" applyFill="1">
      <alignment horizontal="center" vertical="center"/>
    </xf>
    <xf numFmtId="0" fontId="7" fillId="10" borderId="2" xfId="11" applyFill="1">
      <alignment horizontal="center" vertical="center"/>
    </xf>
    <xf numFmtId="0" fontId="7" fillId="4" borderId="2" xfId="11" applyFill="1">
      <alignment horizontal="center" vertical="center"/>
    </xf>
    <xf numFmtId="0" fontId="7" fillId="9" borderId="2" xfId="11" applyFill="1">
      <alignment horizontal="center" vertical="center"/>
    </xf>
    <xf numFmtId="0" fontId="7" fillId="2" borderId="2" xfId="12" applyFill="1">
      <alignment horizontal="left" vertical="center" indent="2"/>
    </xf>
    <xf numFmtId="0" fontId="7" fillId="3" borderId="2" xfId="12" applyFill="1">
      <alignment horizontal="left" vertical="center" indent="2"/>
    </xf>
    <xf numFmtId="0" fontId="7" fillId="10" borderId="2" xfId="12" applyFill="1">
      <alignment horizontal="left" vertical="center" indent="2"/>
    </xf>
    <xf numFmtId="0" fontId="7" fillId="9" borderId="2" xfId="12" applyFill="1">
      <alignment horizontal="left" vertical="center" indent="2"/>
    </xf>
    <xf numFmtId="0" fontId="0" fillId="0" borderId="10" xfId="0" applyBorder="1"/>
    <xf numFmtId="0" fontId="13" fillId="0" borderId="0" xfId="0" applyFont="1"/>
    <xf numFmtId="0" fontId="14" fillId="0" borderId="0" xfId="1" applyFont="1" applyProtection="1">
      <alignment vertical="top"/>
    </xf>
    <xf numFmtId="166" fontId="0" fillId="7" borderId="2" xfId="0" applyNumberFormat="1" applyFill="1" applyBorder="1" applyAlignment="1">
      <alignment horizontal="center" vertical="center"/>
    </xf>
    <xf numFmtId="166" fontId="4" fillId="7" borderId="2" xfId="0" applyNumberFormat="1" applyFont="1" applyFill="1" applyBorder="1" applyAlignment="1">
      <alignment horizontal="center" vertical="center"/>
    </xf>
    <xf numFmtId="166" fontId="7" fillId="2" borderId="2" xfId="10" applyFill="1">
      <alignment horizontal="center" vertical="center"/>
    </xf>
    <xf numFmtId="166" fontId="0" fillId="8" borderId="2" xfId="0" applyNumberFormat="1" applyFill="1" applyBorder="1" applyAlignment="1">
      <alignment horizontal="center" vertical="center"/>
    </xf>
    <xf numFmtId="166" fontId="4" fillId="8" borderId="2" xfId="0" applyNumberFormat="1" applyFont="1" applyFill="1" applyBorder="1" applyAlignment="1">
      <alignment horizontal="center" vertical="center"/>
    </xf>
    <xf numFmtId="166" fontId="7" fillId="3" borderId="2" xfId="10" applyFill="1">
      <alignment horizontal="center" vertical="center"/>
    </xf>
    <xf numFmtId="166" fontId="0" fillId="5" borderId="2" xfId="0" applyNumberFormat="1" applyFill="1" applyBorder="1" applyAlignment="1">
      <alignment horizontal="center" vertical="center"/>
    </xf>
    <xf numFmtId="166" fontId="4" fillId="5" borderId="2" xfId="0" applyNumberFormat="1" applyFont="1" applyFill="1" applyBorder="1" applyAlignment="1">
      <alignment horizontal="center" vertical="center"/>
    </xf>
    <xf numFmtId="166" fontId="7" fillId="10" borderId="2" xfId="10" applyFill="1">
      <alignment horizontal="center" vertical="center"/>
    </xf>
    <xf numFmtId="166" fontId="0" fillId="4" borderId="2" xfId="0" applyNumberFormat="1" applyFill="1" applyBorder="1" applyAlignment="1">
      <alignment horizontal="center" vertical="center"/>
    </xf>
    <xf numFmtId="166" fontId="4" fillId="4" borderId="2" xfId="0" applyNumberFormat="1" applyFont="1" applyFill="1" applyBorder="1" applyAlignment="1">
      <alignment horizontal="center" vertical="center"/>
    </xf>
    <xf numFmtId="166" fontId="7" fillId="9" borderId="2" xfId="10" applyFill="1">
      <alignment horizontal="center" vertical="center"/>
    </xf>
    <xf numFmtId="167" fontId="9" fillId="6" borderId="6" xfId="0" applyNumberFormat="1" applyFont="1" applyFill="1" applyBorder="1" applyAlignment="1">
      <alignment horizontal="center" vertical="center"/>
    </xf>
    <xf numFmtId="167" fontId="9" fillId="6" borderId="0" xfId="0" applyNumberFormat="1" applyFont="1" applyFill="1" applyAlignment="1">
      <alignment horizontal="center" vertical="center"/>
    </xf>
    <xf numFmtId="167" fontId="9" fillId="6" borderId="7" xfId="0" applyNumberFormat="1" applyFont="1" applyFill="1" applyBorder="1" applyAlignment="1">
      <alignment horizontal="center" vertical="center"/>
    </xf>
    <xf numFmtId="0" fontId="8" fillId="0" borderId="0" xfId="7" applyAlignment="1">
      <alignment vertical="top" wrapText="1"/>
    </xf>
    <xf numFmtId="0" fontId="0" fillId="3" borderId="2" xfId="12" applyFont="1" applyFill="1">
      <alignment horizontal="left" vertical="center" indent="2"/>
    </xf>
    <xf numFmtId="166" fontId="27" fillId="9" borderId="2" xfId="10" applyFont="1" applyFill="1">
      <alignment horizontal="center" vertical="center"/>
    </xf>
    <xf numFmtId="0" fontId="7" fillId="0" borderId="0" xfId="8">
      <alignment horizontal="right" indent="1"/>
    </xf>
    <xf numFmtId="0" fontId="7" fillId="0" borderId="7" xfId="8" applyBorder="1">
      <alignment horizontal="right" indent="1"/>
    </xf>
    <xf numFmtId="169" fontId="0" fillId="6" borderId="4" xfId="0" applyNumberFormat="1" applyFill="1" applyBorder="1" applyAlignment="1">
      <alignment horizontal="left" vertical="center" wrapText="1" indent="1"/>
    </xf>
    <xf numFmtId="169" fontId="0" fillId="6" borderId="1" xfId="0" applyNumberFormat="1" applyFill="1" applyBorder="1" applyAlignment="1">
      <alignment horizontal="left" vertical="center" wrapText="1" indent="1"/>
    </xf>
    <xf numFmtId="169" fontId="0" fillId="6" borderId="5" xfId="0" applyNumberFormat="1" applyFill="1" applyBorder="1" applyAlignment="1">
      <alignment horizontal="left" vertical="center" wrapText="1" indent="1"/>
    </xf>
    <xf numFmtId="168" fontId="7" fillId="0" borderId="3" xfId="9">
      <alignment horizontal="center" vertic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5">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4"/>
      <tableStyleElement type="headerRow" dxfId="13"/>
      <tableStyleElement type="totalRow" dxfId="12"/>
      <tableStyleElement type="firstColumn" dxfId="11"/>
      <tableStyleElement type="lastColumn" dxfId="10"/>
      <tableStyleElement type="firstRowStripe" dxfId="9"/>
      <tableStyleElement type="secondRowStripe" dxfId="8"/>
      <tableStyleElement type="firstColumnStripe" dxfId="7"/>
      <tableStyleElement type="secondColumn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78"/>
  <sheetViews>
    <sheetView showGridLines="0" tabSelected="1" showRuler="0" zoomScale="70" zoomScaleNormal="70" zoomScalePageLayoutView="70" workbookViewId="0">
      <pane ySplit="6" topLeftCell="A64" activePane="bottomLeft" state="frozen"/>
      <selection pane="bottomLeft" activeCell="C80" sqref="C80"/>
    </sheetView>
  </sheetViews>
  <sheetFormatPr baseColWidth="10" defaultColWidth="9.140625" defaultRowHeight="30" customHeight="1" x14ac:dyDescent="0.25"/>
  <cols>
    <col min="1" max="1" width="2.7109375" style="26" customWidth="1"/>
    <col min="2" max="2" width="46.85546875" customWidth="1"/>
    <col min="3" max="3" width="30.7109375" customWidth="1"/>
    <col min="4" max="4" width="10.7109375" customWidth="1"/>
    <col min="5" max="5" width="10.42578125" style="5" customWidth="1"/>
    <col min="6" max="6" width="10.42578125" customWidth="1"/>
    <col min="7" max="7" width="3.140625" customWidth="1"/>
    <col min="8" max="8" width="6.140625" hidden="1" customWidth="1"/>
    <col min="9" max="64" width="3.140625" customWidth="1"/>
    <col min="69" max="70" width="10.28515625"/>
  </cols>
  <sheetData>
    <row r="1" spans="1:64" ht="30" customHeight="1" x14ac:dyDescent="0.45">
      <c r="A1" s="27" t="s">
        <v>0</v>
      </c>
      <c r="B1" s="29" t="s">
        <v>1</v>
      </c>
      <c r="C1" s="1"/>
      <c r="D1" s="2"/>
      <c r="E1" s="4"/>
      <c r="F1" s="25"/>
      <c r="H1" s="2"/>
      <c r="I1" s="44"/>
    </row>
    <row r="2" spans="1:64" ht="30" customHeight="1" x14ac:dyDescent="0.3">
      <c r="A2" s="26" t="s">
        <v>2</v>
      </c>
      <c r="B2" s="30"/>
      <c r="I2" s="45"/>
    </row>
    <row r="3" spans="1:64" ht="35.25" customHeight="1" x14ac:dyDescent="0.25">
      <c r="A3" s="26" t="s">
        <v>3</v>
      </c>
      <c r="B3" s="61" t="s">
        <v>4</v>
      </c>
      <c r="C3" s="64" t="s">
        <v>5</v>
      </c>
      <c r="D3" s="65"/>
      <c r="E3" s="69">
        <v>46086</v>
      </c>
      <c r="F3" s="69"/>
    </row>
    <row r="4" spans="1:64" ht="30" customHeight="1" x14ac:dyDescent="0.25">
      <c r="A4" s="27" t="s">
        <v>6</v>
      </c>
      <c r="C4" s="64" t="s">
        <v>7</v>
      </c>
      <c r="D4" s="65"/>
      <c r="E4" s="6">
        <v>3</v>
      </c>
      <c r="I4" s="66">
        <f>I5</f>
        <v>46097</v>
      </c>
      <c r="J4" s="67"/>
      <c r="K4" s="67"/>
      <c r="L4" s="67"/>
      <c r="M4" s="67"/>
      <c r="N4" s="67"/>
      <c r="O4" s="68"/>
      <c r="P4" s="66">
        <f>P5</f>
        <v>46104</v>
      </c>
      <c r="Q4" s="67"/>
      <c r="R4" s="67"/>
      <c r="S4" s="67"/>
      <c r="T4" s="67"/>
      <c r="U4" s="67"/>
      <c r="V4" s="68"/>
      <c r="W4" s="66">
        <f>W5</f>
        <v>46111</v>
      </c>
      <c r="X4" s="67"/>
      <c r="Y4" s="67"/>
      <c r="Z4" s="67"/>
      <c r="AA4" s="67"/>
      <c r="AB4" s="67"/>
      <c r="AC4" s="68"/>
      <c r="AD4" s="66">
        <f>AD5</f>
        <v>46118</v>
      </c>
      <c r="AE4" s="67"/>
      <c r="AF4" s="67"/>
      <c r="AG4" s="67"/>
      <c r="AH4" s="67"/>
      <c r="AI4" s="67"/>
      <c r="AJ4" s="68"/>
      <c r="AK4" s="66">
        <f>AK5</f>
        <v>46125</v>
      </c>
      <c r="AL4" s="67"/>
      <c r="AM4" s="67"/>
      <c r="AN4" s="67"/>
      <c r="AO4" s="67"/>
      <c r="AP4" s="67"/>
      <c r="AQ4" s="68"/>
      <c r="AR4" s="66">
        <f>AR5</f>
        <v>46132</v>
      </c>
      <c r="AS4" s="67"/>
      <c r="AT4" s="67"/>
      <c r="AU4" s="67"/>
      <c r="AV4" s="67"/>
      <c r="AW4" s="67"/>
      <c r="AX4" s="68"/>
      <c r="AY4" s="66">
        <f>AY5</f>
        <v>46139</v>
      </c>
      <c r="AZ4" s="67"/>
      <c r="BA4" s="67"/>
      <c r="BB4" s="67"/>
      <c r="BC4" s="67"/>
      <c r="BD4" s="67"/>
      <c r="BE4" s="68"/>
      <c r="BF4" s="66">
        <f>BF5</f>
        <v>46146</v>
      </c>
      <c r="BG4" s="67"/>
      <c r="BH4" s="67"/>
      <c r="BI4" s="67"/>
      <c r="BJ4" s="67"/>
      <c r="BK4" s="67"/>
      <c r="BL4" s="68"/>
    </row>
    <row r="5" spans="1:64" ht="15" customHeight="1" x14ac:dyDescent="0.25">
      <c r="A5" s="27" t="s">
        <v>8</v>
      </c>
      <c r="B5" s="43"/>
      <c r="C5" s="43"/>
      <c r="D5" s="43"/>
      <c r="E5" s="43"/>
      <c r="F5" s="43"/>
      <c r="G5" s="43"/>
      <c r="I5" s="58">
        <f>Inicio_del_proyecto-WEEKDAY(Inicio_del_proyecto,1)+2+7*(Semana_para_mostrar-1)</f>
        <v>46097</v>
      </c>
      <c r="J5" s="59">
        <f>I5+1</f>
        <v>46098</v>
      </c>
      <c r="K5" s="59">
        <f t="shared" ref="K5:AX5" si="0">J5+1</f>
        <v>46099</v>
      </c>
      <c r="L5" s="59">
        <f t="shared" si="0"/>
        <v>46100</v>
      </c>
      <c r="M5" s="59">
        <f t="shared" si="0"/>
        <v>46101</v>
      </c>
      <c r="N5" s="59">
        <f t="shared" si="0"/>
        <v>46102</v>
      </c>
      <c r="O5" s="60">
        <f t="shared" si="0"/>
        <v>46103</v>
      </c>
      <c r="P5" s="58">
        <f>O5+1</f>
        <v>46104</v>
      </c>
      <c r="Q5" s="59">
        <f>P5+1</f>
        <v>46105</v>
      </c>
      <c r="R5" s="59">
        <f t="shared" si="0"/>
        <v>46106</v>
      </c>
      <c r="S5" s="59">
        <f t="shared" si="0"/>
        <v>46107</v>
      </c>
      <c r="T5" s="59">
        <f t="shared" si="0"/>
        <v>46108</v>
      </c>
      <c r="U5" s="59">
        <f t="shared" si="0"/>
        <v>46109</v>
      </c>
      <c r="V5" s="60">
        <f t="shared" si="0"/>
        <v>46110</v>
      </c>
      <c r="W5" s="58">
        <f>V5+1</f>
        <v>46111</v>
      </c>
      <c r="X5" s="59">
        <f>W5+1</f>
        <v>46112</v>
      </c>
      <c r="Y5" s="59">
        <f t="shared" si="0"/>
        <v>46113</v>
      </c>
      <c r="Z5" s="59">
        <f t="shared" si="0"/>
        <v>46114</v>
      </c>
      <c r="AA5" s="59">
        <f t="shared" si="0"/>
        <v>46115</v>
      </c>
      <c r="AB5" s="59">
        <f t="shared" si="0"/>
        <v>46116</v>
      </c>
      <c r="AC5" s="60">
        <f t="shared" si="0"/>
        <v>46117</v>
      </c>
      <c r="AD5" s="58">
        <f>AC5+1</f>
        <v>46118</v>
      </c>
      <c r="AE5" s="59">
        <f>AD5+1</f>
        <v>46119</v>
      </c>
      <c r="AF5" s="59">
        <f t="shared" si="0"/>
        <v>46120</v>
      </c>
      <c r="AG5" s="59">
        <f t="shared" si="0"/>
        <v>46121</v>
      </c>
      <c r="AH5" s="59">
        <f t="shared" si="0"/>
        <v>46122</v>
      </c>
      <c r="AI5" s="59">
        <f t="shared" si="0"/>
        <v>46123</v>
      </c>
      <c r="AJ5" s="60">
        <f t="shared" si="0"/>
        <v>46124</v>
      </c>
      <c r="AK5" s="58">
        <f>AJ5+1</f>
        <v>46125</v>
      </c>
      <c r="AL5" s="59">
        <f>AK5+1</f>
        <v>46126</v>
      </c>
      <c r="AM5" s="59">
        <f t="shared" si="0"/>
        <v>46127</v>
      </c>
      <c r="AN5" s="59">
        <f t="shared" si="0"/>
        <v>46128</v>
      </c>
      <c r="AO5" s="59">
        <f t="shared" si="0"/>
        <v>46129</v>
      </c>
      <c r="AP5" s="59">
        <f t="shared" si="0"/>
        <v>46130</v>
      </c>
      <c r="AQ5" s="60">
        <f t="shared" si="0"/>
        <v>46131</v>
      </c>
      <c r="AR5" s="58">
        <f>AQ5+1</f>
        <v>46132</v>
      </c>
      <c r="AS5" s="59">
        <f>AR5+1</f>
        <v>46133</v>
      </c>
      <c r="AT5" s="59">
        <f t="shared" si="0"/>
        <v>46134</v>
      </c>
      <c r="AU5" s="59">
        <f t="shared" si="0"/>
        <v>46135</v>
      </c>
      <c r="AV5" s="59">
        <f t="shared" si="0"/>
        <v>46136</v>
      </c>
      <c r="AW5" s="59">
        <f t="shared" si="0"/>
        <v>46137</v>
      </c>
      <c r="AX5" s="60">
        <f t="shared" si="0"/>
        <v>46138</v>
      </c>
      <c r="AY5" s="58">
        <f>AX5+1</f>
        <v>46139</v>
      </c>
      <c r="AZ5" s="59">
        <f>AY5+1</f>
        <v>46140</v>
      </c>
      <c r="BA5" s="59">
        <f t="shared" ref="BA5:BE5" si="1">AZ5+1</f>
        <v>46141</v>
      </c>
      <c r="BB5" s="59">
        <f t="shared" si="1"/>
        <v>46142</v>
      </c>
      <c r="BC5" s="59">
        <f t="shared" si="1"/>
        <v>46143</v>
      </c>
      <c r="BD5" s="59">
        <f t="shared" si="1"/>
        <v>46144</v>
      </c>
      <c r="BE5" s="60">
        <f t="shared" si="1"/>
        <v>46145</v>
      </c>
      <c r="BF5" s="58">
        <f>BE5+1</f>
        <v>46146</v>
      </c>
      <c r="BG5" s="59">
        <f>BF5+1</f>
        <v>46147</v>
      </c>
      <c r="BH5" s="59">
        <f t="shared" ref="BH5:BL5" si="2">BG5+1</f>
        <v>46148</v>
      </c>
      <c r="BI5" s="59">
        <f t="shared" si="2"/>
        <v>46149</v>
      </c>
      <c r="BJ5" s="59">
        <f t="shared" si="2"/>
        <v>46150</v>
      </c>
      <c r="BK5" s="59">
        <f t="shared" si="2"/>
        <v>46151</v>
      </c>
      <c r="BL5" s="60">
        <f t="shared" si="2"/>
        <v>46152</v>
      </c>
    </row>
    <row r="6" spans="1:64" ht="30" customHeight="1" thickBot="1" x14ac:dyDescent="0.3">
      <c r="A6" s="27" t="s">
        <v>9</v>
      </c>
      <c r="B6" s="7" t="s">
        <v>10</v>
      </c>
      <c r="C6" s="8" t="s">
        <v>11</v>
      </c>
      <c r="D6" s="8" t="s">
        <v>12</v>
      </c>
      <c r="E6" s="8" t="s">
        <v>13</v>
      </c>
      <c r="F6" s="8" t="s">
        <v>14</v>
      </c>
      <c r="G6" s="8"/>
      <c r="H6" s="8" t="s">
        <v>15</v>
      </c>
      <c r="I6" s="9" t="str">
        <f t="shared" ref="I6" si="3">LEFT(TEXT(I5,"ddd"),1)</f>
        <v>l</v>
      </c>
      <c r="J6" s="9" t="str">
        <f t="shared" ref="J6:AR6" si="4">LEFT(TEXT(J5,"ddd"),1)</f>
        <v>m</v>
      </c>
      <c r="K6" s="9" t="str">
        <f t="shared" si="4"/>
        <v>m</v>
      </c>
      <c r="L6" s="9" t="str">
        <f t="shared" si="4"/>
        <v>j</v>
      </c>
      <c r="M6" s="9" t="str">
        <f t="shared" si="4"/>
        <v>v</v>
      </c>
      <c r="N6" s="9" t="str">
        <f t="shared" si="4"/>
        <v>s</v>
      </c>
      <c r="O6" s="9" t="str">
        <f t="shared" si="4"/>
        <v>d</v>
      </c>
      <c r="P6" s="9" t="str">
        <f t="shared" si="4"/>
        <v>l</v>
      </c>
      <c r="Q6" s="9" t="str">
        <f t="shared" si="4"/>
        <v>m</v>
      </c>
      <c r="R6" s="9" t="str">
        <f t="shared" si="4"/>
        <v>m</v>
      </c>
      <c r="S6" s="9" t="str">
        <f t="shared" si="4"/>
        <v>j</v>
      </c>
      <c r="T6" s="9" t="str">
        <f t="shared" si="4"/>
        <v>v</v>
      </c>
      <c r="U6" s="9" t="str">
        <f t="shared" si="4"/>
        <v>s</v>
      </c>
      <c r="V6" s="9" t="str">
        <f t="shared" si="4"/>
        <v>d</v>
      </c>
      <c r="W6" s="9" t="str">
        <f t="shared" si="4"/>
        <v>l</v>
      </c>
      <c r="X6" s="9" t="str">
        <f t="shared" si="4"/>
        <v>m</v>
      </c>
      <c r="Y6" s="9" t="str">
        <f t="shared" si="4"/>
        <v>m</v>
      </c>
      <c r="Z6" s="9" t="str">
        <f t="shared" si="4"/>
        <v>j</v>
      </c>
      <c r="AA6" s="9" t="str">
        <f t="shared" si="4"/>
        <v>v</v>
      </c>
      <c r="AB6" s="9" t="str">
        <f t="shared" si="4"/>
        <v>s</v>
      </c>
      <c r="AC6" s="9" t="str">
        <f t="shared" si="4"/>
        <v>d</v>
      </c>
      <c r="AD6" s="9" t="str">
        <f t="shared" si="4"/>
        <v>l</v>
      </c>
      <c r="AE6" s="9" t="str">
        <f t="shared" si="4"/>
        <v>m</v>
      </c>
      <c r="AF6" s="9" t="str">
        <f t="shared" si="4"/>
        <v>m</v>
      </c>
      <c r="AG6" s="9" t="str">
        <f t="shared" si="4"/>
        <v>j</v>
      </c>
      <c r="AH6" s="9" t="str">
        <f t="shared" si="4"/>
        <v>v</v>
      </c>
      <c r="AI6" s="9" t="str">
        <f t="shared" si="4"/>
        <v>s</v>
      </c>
      <c r="AJ6" s="9" t="str">
        <f t="shared" si="4"/>
        <v>d</v>
      </c>
      <c r="AK6" s="9" t="str">
        <f t="shared" si="4"/>
        <v>l</v>
      </c>
      <c r="AL6" s="9" t="str">
        <f t="shared" si="4"/>
        <v>m</v>
      </c>
      <c r="AM6" s="9" t="str">
        <f t="shared" si="4"/>
        <v>m</v>
      </c>
      <c r="AN6" s="9" t="str">
        <f t="shared" si="4"/>
        <v>j</v>
      </c>
      <c r="AO6" s="9" t="str">
        <f t="shared" si="4"/>
        <v>v</v>
      </c>
      <c r="AP6" s="9" t="str">
        <f t="shared" si="4"/>
        <v>s</v>
      </c>
      <c r="AQ6" s="9" t="str">
        <f t="shared" si="4"/>
        <v>d</v>
      </c>
      <c r="AR6" s="9" t="str">
        <f t="shared" si="4"/>
        <v>l</v>
      </c>
      <c r="AS6" s="9" t="str">
        <f t="shared" ref="AS6:BL6" si="5">LEFT(TEXT(AS5,"ddd"),1)</f>
        <v>m</v>
      </c>
      <c r="AT6" s="9" t="str">
        <f t="shared" si="5"/>
        <v>m</v>
      </c>
      <c r="AU6" s="9" t="str">
        <f t="shared" si="5"/>
        <v>j</v>
      </c>
      <c r="AV6" s="9" t="str">
        <f t="shared" si="5"/>
        <v>v</v>
      </c>
      <c r="AW6" s="9" t="str">
        <f t="shared" si="5"/>
        <v>s</v>
      </c>
      <c r="AX6" s="9" t="str">
        <f t="shared" si="5"/>
        <v>d</v>
      </c>
      <c r="AY6" s="9" t="str">
        <f t="shared" si="5"/>
        <v>l</v>
      </c>
      <c r="AZ6" s="9" t="str">
        <f t="shared" si="5"/>
        <v>m</v>
      </c>
      <c r="BA6" s="9" t="str">
        <f t="shared" si="5"/>
        <v>m</v>
      </c>
      <c r="BB6" s="9" t="str">
        <f t="shared" si="5"/>
        <v>j</v>
      </c>
      <c r="BC6" s="9" t="str">
        <f t="shared" si="5"/>
        <v>v</v>
      </c>
      <c r="BD6" s="9" t="str">
        <f t="shared" si="5"/>
        <v>s</v>
      </c>
      <c r="BE6" s="9" t="str">
        <f t="shared" si="5"/>
        <v>d</v>
      </c>
      <c r="BF6" s="9" t="str">
        <f t="shared" si="5"/>
        <v>l</v>
      </c>
      <c r="BG6" s="9" t="str">
        <f t="shared" si="5"/>
        <v>m</v>
      </c>
      <c r="BH6" s="9" t="str">
        <f t="shared" si="5"/>
        <v>m</v>
      </c>
      <c r="BI6" s="9" t="str">
        <f t="shared" si="5"/>
        <v>j</v>
      </c>
      <c r="BJ6" s="9" t="str">
        <f t="shared" si="5"/>
        <v>v</v>
      </c>
      <c r="BK6" s="9" t="str">
        <f t="shared" si="5"/>
        <v>s</v>
      </c>
      <c r="BL6" s="9" t="str">
        <f t="shared" si="5"/>
        <v>d</v>
      </c>
    </row>
    <row r="7" spans="1:64" ht="30" hidden="1" customHeight="1" thickBot="1" x14ac:dyDescent="0.3">
      <c r="A7" s="26" t="s">
        <v>16</v>
      </c>
      <c r="C7" s="28"/>
      <c r="E7"/>
      <c r="H7" t="str">
        <f>IF(OR(ISBLANK(task_start),ISBLANK(task_end)),"",task_end-task_start+1)</f>
        <v/>
      </c>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s="3" customFormat="1" ht="30" customHeight="1" thickBot="1" x14ac:dyDescent="0.3">
      <c r="A8" s="27" t="s">
        <v>17</v>
      </c>
      <c r="B8" s="11" t="s">
        <v>18</v>
      </c>
      <c r="C8" s="31"/>
      <c r="D8" s="12"/>
      <c r="E8" s="46"/>
      <c r="F8" s="47"/>
      <c r="G8" s="10"/>
      <c r="H8" s="10" t="str">
        <f t="shared" ref="H8:H71" si="6">IF(OR(ISBLANK(task_start),ISBLANK(task_end)),"",task_end-task_start+1)</f>
        <v/>
      </c>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s="3" customFormat="1" ht="30" customHeight="1" thickBot="1" x14ac:dyDescent="0.3">
      <c r="A9" s="27" t="s">
        <v>19</v>
      </c>
      <c r="B9" s="39" t="s">
        <v>20</v>
      </c>
      <c r="C9" s="32" t="s">
        <v>21</v>
      </c>
      <c r="D9" s="13">
        <v>1</v>
      </c>
      <c r="E9" s="48">
        <f>Inicio_del_proyecto</f>
        <v>46086</v>
      </c>
      <c r="F9" s="48">
        <f>E9+2</f>
        <v>46088</v>
      </c>
      <c r="G9" s="10"/>
      <c r="H9" s="10">
        <f t="shared" si="6"/>
        <v>3</v>
      </c>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s="3" customFormat="1" ht="30" customHeight="1" x14ac:dyDescent="0.25">
      <c r="A10" s="27" t="s">
        <v>22</v>
      </c>
      <c r="B10" s="39"/>
      <c r="C10" s="32"/>
      <c r="D10" s="13"/>
      <c r="E10" s="48"/>
      <c r="F10" s="48"/>
      <c r="G10" s="10"/>
      <c r="H10" s="10" t="str">
        <f t="shared" si="6"/>
        <v/>
      </c>
      <c r="I10" s="23"/>
      <c r="J10" s="23"/>
      <c r="K10" s="23"/>
      <c r="L10" s="23"/>
      <c r="M10" s="23"/>
      <c r="N10" s="23"/>
      <c r="O10" s="23"/>
      <c r="P10" s="23"/>
      <c r="Q10" s="23"/>
      <c r="R10" s="23"/>
      <c r="S10" s="23"/>
      <c r="T10" s="23"/>
      <c r="U10" s="24"/>
      <c r="V10" s="24"/>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s="3" customFormat="1" ht="30" customHeight="1" x14ac:dyDescent="0.25">
      <c r="A11" s="26"/>
      <c r="B11" s="39"/>
      <c r="C11" s="32"/>
      <c r="D11" s="13"/>
      <c r="E11" s="48"/>
      <c r="F11" s="48"/>
      <c r="G11" s="10"/>
      <c r="H11" s="10" t="str">
        <f t="shared" si="6"/>
        <v/>
      </c>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s="3" customFormat="1" ht="30" customHeight="1" x14ac:dyDescent="0.25">
      <c r="A12" s="26"/>
      <c r="B12" s="39"/>
      <c r="C12" s="32"/>
      <c r="D12" s="13"/>
      <c r="E12" s="48"/>
      <c r="F12" s="48"/>
      <c r="G12" s="10"/>
      <c r="H12" s="10" t="str">
        <f t="shared" si="6"/>
        <v/>
      </c>
      <c r="I12" s="23"/>
      <c r="J12" s="23"/>
      <c r="K12" s="23"/>
      <c r="L12" s="23"/>
      <c r="M12" s="23"/>
      <c r="N12" s="23"/>
      <c r="O12" s="23"/>
      <c r="P12" s="23"/>
      <c r="Q12" s="23"/>
      <c r="R12" s="23"/>
      <c r="S12" s="23"/>
      <c r="T12" s="23"/>
      <c r="U12" s="23"/>
      <c r="V12" s="23"/>
      <c r="W12" s="23"/>
      <c r="X12" s="23"/>
      <c r="Y12" s="24"/>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s="3" customFormat="1" ht="30" customHeight="1" x14ac:dyDescent="0.25">
      <c r="A13" s="26"/>
      <c r="B13" s="39"/>
      <c r="C13" s="32"/>
      <c r="D13" s="13"/>
      <c r="E13" s="48"/>
      <c r="F13" s="48"/>
      <c r="G13" s="10"/>
      <c r="H13" s="10" t="str">
        <f t="shared" si="6"/>
        <v/>
      </c>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s="3" customFormat="1" ht="30" customHeight="1" x14ac:dyDescent="0.25">
      <c r="A14" s="27" t="s">
        <v>23</v>
      </c>
      <c r="B14" s="14" t="s">
        <v>24</v>
      </c>
      <c r="C14" s="33"/>
      <c r="D14" s="15"/>
      <c r="E14" s="49"/>
      <c r="F14" s="50"/>
      <c r="G14" s="10"/>
      <c r="H14" s="10" t="str">
        <f t="shared" si="6"/>
        <v/>
      </c>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s="3" customFormat="1" ht="30" customHeight="1" thickBot="1" x14ac:dyDescent="0.3">
      <c r="A15" s="27"/>
      <c r="B15" s="40" t="s">
        <v>25</v>
      </c>
      <c r="C15" s="34" t="s">
        <v>26</v>
      </c>
      <c r="D15" s="16">
        <v>1</v>
      </c>
      <c r="E15" s="51">
        <v>46092</v>
      </c>
      <c r="F15" s="51">
        <v>46093</v>
      </c>
      <c r="G15" s="10"/>
      <c r="H15" s="10">
        <f t="shared" si="6"/>
        <v>2</v>
      </c>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s="3" customFormat="1" ht="30" customHeight="1" thickBot="1" x14ac:dyDescent="0.3">
      <c r="A16" s="26"/>
      <c r="B16" s="40" t="s">
        <v>27</v>
      </c>
      <c r="C16" s="34" t="s">
        <v>26</v>
      </c>
      <c r="D16" s="16">
        <v>1</v>
      </c>
      <c r="E16" s="51">
        <v>46093</v>
      </c>
      <c r="F16" s="51">
        <v>46094</v>
      </c>
      <c r="G16" s="10"/>
      <c r="H16" s="10">
        <f t="shared" si="6"/>
        <v>2</v>
      </c>
      <c r="I16" s="23"/>
      <c r="J16" s="23"/>
      <c r="K16" s="23"/>
      <c r="L16" s="23"/>
      <c r="M16" s="23"/>
      <c r="N16" s="23"/>
      <c r="O16" s="23"/>
      <c r="P16" s="23"/>
      <c r="Q16" s="23"/>
      <c r="R16" s="23"/>
      <c r="S16" s="23"/>
      <c r="T16" s="23"/>
      <c r="U16" s="24"/>
      <c r="V16" s="24"/>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s="3" customFormat="1" ht="30" customHeight="1" thickBot="1" x14ac:dyDescent="0.3">
      <c r="A17" s="26"/>
      <c r="B17" s="40" t="s">
        <v>28</v>
      </c>
      <c r="C17" s="34" t="s">
        <v>29</v>
      </c>
      <c r="D17" s="16">
        <v>1</v>
      </c>
      <c r="E17" s="51">
        <v>46094</v>
      </c>
      <c r="F17" s="51">
        <v>46095</v>
      </c>
      <c r="G17" s="10"/>
      <c r="H17" s="10">
        <f t="shared" si="6"/>
        <v>2</v>
      </c>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s="3" customFormat="1" ht="30" customHeight="1" thickBot="1" x14ac:dyDescent="0.3">
      <c r="A18" s="26"/>
      <c r="B18" s="40" t="s">
        <v>30</v>
      </c>
      <c r="C18" s="34" t="s">
        <v>29</v>
      </c>
      <c r="D18" s="16">
        <v>1</v>
      </c>
      <c r="E18" s="51">
        <v>46095</v>
      </c>
      <c r="F18" s="51">
        <v>46096</v>
      </c>
      <c r="G18" s="10"/>
      <c r="H18" s="10">
        <f t="shared" si="6"/>
        <v>2</v>
      </c>
      <c r="I18" s="23"/>
      <c r="J18" s="23"/>
      <c r="K18" s="23"/>
      <c r="L18" s="23"/>
      <c r="M18" s="23"/>
      <c r="N18" s="23"/>
      <c r="O18" s="23"/>
      <c r="P18" s="23"/>
      <c r="Q18" s="23"/>
      <c r="R18" s="23"/>
      <c r="S18" s="23"/>
      <c r="T18" s="23"/>
      <c r="U18" s="23"/>
      <c r="V18" s="23"/>
      <c r="W18" s="23"/>
      <c r="X18" s="23"/>
      <c r="Y18" s="24"/>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s="3" customFormat="1" ht="30" customHeight="1" thickBot="1" x14ac:dyDescent="0.3">
      <c r="A19" s="26"/>
      <c r="B19" s="40" t="s">
        <v>31</v>
      </c>
      <c r="C19" s="34" t="s">
        <v>26</v>
      </c>
      <c r="D19" s="16">
        <v>1</v>
      </c>
      <c r="E19" s="51">
        <v>46094</v>
      </c>
      <c r="F19" s="51">
        <v>46096</v>
      </c>
      <c r="G19" s="10"/>
      <c r="H19" s="10">
        <f t="shared" si="6"/>
        <v>3</v>
      </c>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s="3" customFormat="1" ht="30" customHeight="1" thickBot="1" x14ac:dyDescent="0.3">
      <c r="A20" s="26" t="s">
        <v>32</v>
      </c>
      <c r="B20" s="17" t="s">
        <v>33</v>
      </c>
      <c r="C20" s="35"/>
      <c r="D20" s="18"/>
      <c r="E20" s="52"/>
      <c r="F20" s="53"/>
      <c r="G20" s="10"/>
      <c r="H20" s="10" t="str">
        <f t="shared" si="6"/>
        <v/>
      </c>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s="3" customFormat="1" ht="30" customHeight="1" thickBot="1" x14ac:dyDescent="0.3">
      <c r="A21" s="26"/>
      <c r="B21" s="41" t="s">
        <v>34</v>
      </c>
      <c r="C21" s="36" t="s">
        <v>26</v>
      </c>
      <c r="D21" s="19">
        <v>1</v>
      </c>
      <c r="E21" s="54">
        <v>46099</v>
      </c>
      <c r="F21" s="54">
        <v>46100</v>
      </c>
      <c r="G21" s="10"/>
      <c r="H21" s="10">
        <f t="shared" si="6"/>
        <v>2</v>
      </c>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s="3" customFormat="1" ht="30" customHeight="1" thickBot="1" x14ac:dyDescent="0.3">
      <c r="A22" s="26"/>
      <c r="B22" s="41" t="s">
        <v>35</v>
      </c>
      <c r="C22" s="36" t="s">
        <v>26</v>
      </c>
      <c r="D22" s="19">
        <v>1</v>
      </c>
      <c r="E22" s="54">
        <v>46099</v>
      </c>
      <c r="F22" s="54">
        <v>46101</v>
      </c>
      <c r="G22" s="10"/>
      <c r="H22" s="10">
        <f t="shared" si="6"/>
        <v>3</v>
      </c>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s="3" customFormat="1" ht="30" customHeight="1" thickBot="1" x14ac:dyDescent="0.3">
      <c r="A23" s="26"/>
      <c r="B23" s="41" t="s">
        <v>36</v>
      </c>
      <c r="C23" s="36" t="s">
        <v>26</v>
      </c>
      <c r="D23" s="19">
        <v>1</v>
      </c>
      <c r="E23" s="54">
        <v>46100</v>
      </c>
      <c r="F23" s="54">
        <v>46102</v>
      </c>
      <c r="G23" s="10"/>
      <c r="H23" s="10">
        <f t="shared" si="6"/>
        <v>3</v>
      </c>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s="3" customFormat="1" ht="30" customHeight="1" thickBot="1" x14ac:dyDescent="0.3">
      <c r="A24" s="26"/>
      <c r="B24" s="41" t="s">
        <v>37</v>
      </c>
      <c r="C24" s="36" t="s">
        <v>26</v>
      </c>
      <c r="D24" s="19">
        <v>1</v>
      </c>
      <c r="E24" s="54">
        <v>46101</v>
      </c>
      <c r="F24" s="54">
        <v>46103</v>
      </c>
      <c r="G24" s="10"/>
      <c r="H24" s="10">
        <f t="shared" si="6"/>
        <v>3</v>
      </c>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s="3" customFormat="1" ht="30" customHeight="1" thickBot="1" x14ac:dyDescent="0.3">
      <c r="A25" s="26"/>
      <c r="B25" s="41" t="s">
        <v>38</v>
      </c>
      <c r="C25" s="36" t="s">
        <v>26</v>
      </c>
      <c r="D25" s="19">
        <v>1</v>
      </c>
      <c r="E25" s="54">
        <v>46101</v>
      </c>
      <c r="F25" s="54">
        <v>46103</v>
      </c>
      <c r="G25" s="10"/>
      <c r="H25" s="10">
        <f t="shared" si="6"/>
        <v>3</v>
      </c>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s="3" customFormat="1" ht="30" customHeight="1" x14ac:dyDescent="0.25">
      <c r="A26" s="26" t="s">
        <v>32</v>
      </c>
      <c r="B26" s="20" t="s">
        <v>39</v>
      </c>
      <c r="C26" s="37"/>
      <c r="D26" s="21"/>
      <c r="E26" s="55"/>
      <c r="F26" s="56"/>
      <c r="G26" s="10"/>
      <c r="H26" s="10" t="str">
        <f t="shared" si="6"/>
        <v/>
      </c>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s="3" customFormat="1" ht="30" customHeight="1" x14ac:dyDescent="0.25">
      <c r="A27" s="26"/>
      <c r="B27" s="42" t="s">
        <v>40</v>
      </c>
      <c r="C27" s="38" t="s">
        <v>29</v>
      </c>
      <c r="D27" s="19">
        <v>1</v>
      </c>
      <c r="E27" s="57">
        <v>46099</v>
      </c>
      <c r="F27" s="57">
        <v>46100</v>
      </c>
      <c r="G27" s="10"/>
      <c r="H27" s="10">
        <f t="shared" si="6"/>
        <v>2</v>
      </c>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s="3" customFormat="1" ht="30" customHeight="1" x14ac:dyDescent="0.25">
      <c r="A28" s="26"/>
      <c r="B28" s="42" t="s">
        <v>41</v>
      </c>
      <c r="C28" s="38" t="s">
        <v>29</v>
      </c>
      <c r="D28" s="19">
        <v>1</v>
      </c>
      <c r="E28" s="57">
        <v>46099</v>
      </c>
      <c r="F28" s="57">
        <v>46101</v>
      </c>
      <c r="G28" s="10"/>
      <c r="H28" s="10">
        <f t="shared" si="6"/>
        <v>3</v>
      </c>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s="3" customFormat="1" ht="30" customHeight="1" x14ac:dyDescent="0.25">
      <c r="A29" s="26"/>
      <c r="B29" s="42" t="s">
        <v>42</v>
      </c>
      <c r="C29" s="38" t="s">
        <v>29</v>
      </c>
      <c r="D29" s="19">
        <v>1</v>
      </c>
      <c r="E29" s="57">
        <v>46100</v>
      </c>
      <c r="F29" s="57">
        <v>46101</v>
      </c>
      <c r="G29" s="10"/>
      <c r="H29" s="10">
        <f t="shared" si="6"/>
        <v>2</v>
      </c>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s="3" customFormat="1" ht="30" customHeight="1" thickBot="1" x14ac:dyDescent="0.3">
      <c r="A30" s="26"/>
      <c r="B30" s="42" t="s">
        <v>43</v>
      </c>
      <c r="C30" s="38" t="s">
        <v>29</v>
      </c>
      <c r="D30" s="19">
        <v>1</v>
      </c>
      <c r="E30" s="57">
        <v>46101</v>
      </c>
      <c r="F30" s="57">
        <v>46103</v>
      </c>
      <c r="G30" s="10"/>
      <c r="H30" s="10">
        <f t="shared" si="6"/>
        <v>3</v>
      </c>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s="3" customFormat="1" ht="30" customHeight="1" x14ac:dyDescent="0.25">
      <c r="A31" s="26"/>
      <c r="B31" s="42" t="s">
        <v>44</v>
      </c>
      <c r="C31" s="38" t="s">
        <v>29</v>
      </c>
      <c r="D31" s="19">
        <v>1</v>
      </c>
      <c r="E31" s="57">
        <v>46101</v>
      </c>
      <c r="F31" s="57">
        <v>46103</v>
      </c>
      <c r="G31" s="10"/>
      <c r="H31" s="10">
        <f t="shared" si="6"/>
        <v>3</v>
      </c>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s="3" customFormat="1" ht="30" customHeight="1" x14ac:dyDescent="0.25">
      <c r="A32" s="26"/>
      <c r="B32" s="11" t="s">
        <v>45</v>
      </c>
      <c r="C32" s="31"/>
      <c r="D32" s="12"/>
      <c r="E32" s="46"/>
      <c r="F32" s="47"/>
      <c r="G32" s="10"/>
      <c r="H32" s="10"/>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1:64" s="3" customFormat="1" ht="30" customHeight="1" x14ac:dyDescent="0.25">
      <c r="A33" s="26"/>
      <c r="B33" s="39" t="s">
        <v>46</v>
      </c>
      <c r="C33" s="32" t="s">
        <v>29</v>
      </c>
      <c r="D33" s="13">
        <v>1</v>
      </c>
      <c r="E33" s="48">
        <v>46099</v>
      </c>
      <c r="F33" s="48">
        <v>46100</v>
      </c>
      <c r="G33" s="10"/>
      <c r="H33" s="10"/>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1:64" s="3" customFormat="1" ht="30" customHeight="1" x14ac:dyDescent="0.25">
      <c r="A34" s="26"/>
      <c r="B34" s="39" t="s">
        <v>47</v>
      </c>
      <c r="C34" s="32" t="s">
        <v>29</v>
      </c>
      <c r="D34" s="13">
        <v>1</v>
      </c>
      <c r="E34" s="48">
        <v>46100</v>
      </c>
      <c r="F34" s="48">
        <v>46101</v>
      </c>
      <c r="G34" s="10"/>
      <c r="H34" s="10"/>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1:64" s="3" customFormat="1" ht="30" customHeight="1" x14ac:dyDescent="0.25">
      <c r="A35" s="26"/>
      <c r="B35" s="39" t="s">
        <v>48</v>
      </c>
      <c r="C35" s="32" t="s">
        <v>26</v>
      </c>
      <c r="D35" s="13">
        <v>1</v>
      </c>
      <c r="E35" s="48">
        <v>46101</v>
      </c>
      <c r="F35" s="48">
        <v>46103</v>
      </c>
      <c r="G35" s="10"/>
      <c r="H35" s="10"/>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1:64" s="3" customFormat="1" ht="30" customHeight="1" x14ac:dyDescent="0.25">
      <c r="A36" s="26"/>
      <c r="B36" s="39"/>
      <c r="C36" s="32"/>
      <c r="D36" s="13"/>
      <c r="E36" s="48"/>
      <c r="F36" s="48"/>
      <c r="G36" s="10"/>
      <c r="H36" s="10"/>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1:64" s="3" customFormat="1" ht="30" customHeight="1" x14ac:dyDescent="0.25">
      <c r="A37" s="26"/>
      <c r="B37" s="39"/>
      <c r="C37" s="32"/>
      <c r="D37" s="13"/>
      <c r="E37" s="48"/>
      <c r="F37" s="48"/>
      <c r="G37" s="10"/>
      <c r="H37" s="10"/>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1:64" s="3" customFormat="1" ht="30" customHeight="1" x14ac:dyDescent="0.25">
      <c r="A38" s="26"/>
      <c r="B38" s="14" t="s">
        <v>49</v>
      </c>
      <c r="C38" s="33"/>
      <c r="D38" s="15"/>
      <c r="E38" s="49"/>
      <c r="F38" s="50"/>
      <c r="G38" s="10"/>
      <c r="H38" s="10"/>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1:64" s="3" customFormat="1" ht="30" customHeight="1" x14ac:dyDescent="0.25">
      <c r="A39" s="26"/>
      <c r="B39" s="62" t="s">
        <v>50</v>
      </c>
      <c r="C39" s="34" t="s">
        <v>26</v>
      </c>
      <c r="D39" s="16">
        <v>1</v>
      </c>
      <c r="E39" s="51">
        <v>46106</v>
      </c>
      <c r="F39" s="51">
        <v>46107</v>
      </c>
      <c r="G39" s="10"/>
      <c r="H39" s="10"/>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1:64" s="3" customFormat="1" ht="30" customHeight="1" x14ac:dyDescent="0.25">
      <c r="A40" s="26"/>
      <c r="B40" s="40" t="s">
        <v>51</v>
      </c>
      <c r="C40" s="34" t="s">
        <v>26</v>
      </c>
      <c r="D40" s="16">
        <v>1</v>
      </c>
      <c r="E40" s="51">
        <v>46106</v>
      </c>
      <c r="F40" s="51">
        <v>46107</v>
      </c>
      <c r="G40" s="10"/>
      <c r="H40" s="10"/>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1:64" s="3" customFormat="1" ht="30" customHeight="1" x14ac:dyDescent="0.25">
      <c r="A41" s="26"/>
      <c r="B41" s="40" t="s">
        <v>52</v>
      </c>
      <c r="C41" s="34" t="s">
        <v>26</v>
      </c>
      <c r="D41" s="16">
        <v>1</v>
      </c>
      <c r="E41" s="51">
        <v>46107</v>
      </c>
      <c r="F41" s="51">
        <v>46108</v>
      </c>
      <c r="G41" s="10"/>
      <c r="H41" s="10"/>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1:64" s="3" customFormat="1" ht="30" customHeight="1" x14ac:dyDescent="0.25">
      <c r="A42" s="26"/>
      <c r="B42" s="40" t="s">
        <v>53</v>
      </c>
      <c r="C42" s="34" t="s">
        <v>26</v>
      </c>
      <c r="D42" s="16">
        <v>1</v>
      </c>
      <c r="E42" s="51">
        <v>46108</v>
      </c>
      <c r="F42" s="51">
        <v>46108</v>
      </c>
      <c r="G42" s="10"/>
      <c r="H42" s="10"/>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1:64" s="3" customFormat="1" ht="30" customHeight="1" x14ac:dyDescent="0.25">
      <c r="A43" s="26"/>
      <c r="B43" s="40"/>
      <c r="C43" s="34"/>
      <c r="D43" s="16"/>
      <c r="E43" s="51"/>
      <c r="F43" s="51"/>
      <c r="G43" s="10"/>
      <c r="H43" s="10"/>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1:64" s="3" customFormat="1" ht="30" customHeight="1" x14ac:dyDescent="0.25">
      <c r="A44" s="26"/>
      <c r="B44" s="17" t="s">
        <v>54</v>
      </c>
      <c r="C44" s="35"/>
      <c r="D44" s="18"/>
      <c r="E44" s="52"/>
      <c r="F44" s="53"/>
      <c r="G44" s="10"/>
      <c r="H44" s="10"/>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1:64" s="3" customFormat="1" ht="30" customHeight="1" x14ac:dyDescent="0.25">
      <c r="A45" s="26"/>
      <c r="B45" s="41" t="s">
        <v>55</v>
      </c>
      <c r="C45" s="36" t="s">
        <v>26</v>
      </c>
      <c r="D45" s="16">
        <v>1</v>
      </c>
      <c r="E45" s="54">
        <v>46109</v>
      </c>
      <c r="F45" s="54">
        <v>46109</v>
      </c>
      <c r="G45" s="10"/>
      <c r="H45" s="10"/>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1:64" s="3" customFormat="1" ht="30" customHeight="1" x14ac:dyDescent="0.25">
      <c r="A46" s="26"/>
      <c r="B46" s="41" t="s">
        <v>56</v>
      </c>
      <c r="C46" s="36" t="s">
        <v>26</v>
      </c>
      <c r="D46" s="16">
        <v>1</v>
      </c>
      <c r="E46" s="54">
        <v>46109</v>
      </c>
      <c r="F46" s="54">
        <v>46109</v>
      </c>
      <c r="G46" s="10"/>
      <c r="H46" s="10"/>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1:64" s="3" customFormat="1" ht="30" customHeight="1" x14ac:dyDescent="0.25">
      <c r="A47" s="26"/>
      <c r="B47" s="41" t="s">
        <v>57</v>
      </c>
      <c r="C47" s="36" t="s">
        <v>26</v>
      </c>
      <c r="D47" s="16">
        <v>1</v>
      </c>
      <c r="E47" s="54">
        <v>46109</v>
      </c>
      <c r="F47" s="54">
        <v>46109</v>
      </c>
      <c r="G47" s="10"/>
      <c r="H47" s="10"/>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1:64" s="3" customFormat="1" ht="30" customHeight="1" x14ac:dyDescent="0.25">
      <c r="A48" s="26"/>
      <c r="B48" s="41"/>
      <c r="C48" s="36"/>
      <c r="D48" s="19"/>
      <c r="E48" s="54"/>
      <c r="F48" s="54"/>
      <c r="G48" s="10"/>
      <c r="H48" s="10"/>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1:64" s="3" customFormat="1" ht="30" customHeight="1" x14ac:dyDescent="0.25">
      <c r="A49" s="26"/>
      <c r="B49" s="41"/>
      <c r="C49" s="36"/>
      <c r="D49" s="19"/>
      <c r="E49" s="54"/>
      <c r="F49" s="54"/>
      <c r="G49" s="10"/>
      <c r="H49" s="10"/>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1:64" s="3" customFormat="1" ht="30" customHeight="1" x14ac:dyDescent="0.25">
      <c r="A50" s="26"/>
      <c r="B50" s="20" t="s">
        <v>58</v>
      </c>
      <c r="C50" s="37"/>
      <c r="D50" s="21"/>
      <c r="E50" s="55"/>
      <c r="F50" s="56"/>
      <c r="G50" s="10"/>
      <c r="H50" s="10"/>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1:64" s="3" customFormat="1" ht="30" customHeight="1" x14ac:dyDescent="0.25">
      <c r="A51" s="26"/>
      <c r="B51" s="42" t="s">
        <v>59</v>
      </c>
      <c r="C51" s="38" t="s">
        <v>29</v>
      </c>
      <c r="D51" s="16">
        <v>1</v>
      </c>
      <c r="E51" s="57">
        <v>46092</v>
      </c>
      <c r="F51" s="57">
        <v>46109</v>
      </c>
      <c r="G51" s="10"/>
      <c r="H51" s="10"/>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1:64" s="3" customFormat="1" ht="30" customHeight="1" x14ac:dyDescent="0.25">
      <c r="A52" s="26"/>
      <c r="B52" s="42" t="s">
        <v>60</v>
      </c>
      <c r="C52" s="38" t="s">
        <v>29</v>
      </c>
      <c r="D52" s="16">
        <v>1</v>
      </c>
      <c r="E52" s="57">
        <v>46092</v>
      </c>
      <c r="F52" s="57">
        <v>46109</v>
      </c>
      <c r="G52" s="10"/>
      <c r="H52" s="10"/>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1:64" s="3" customFormat="1" ht="30" customHeight="1" x14ac:dyDescent="0.25">
      <c r="A53" s="26"/>
      <c r="B53" s="42" t="s">
        <v>61</v>
      </c>
      <c r="C53" s="38" t="s">
        <v>29</v>
      </c>
      <c r="D53" s="16">
        <v>1</v>
      </c>
      <c r="E53" s="57">
        <v>46092</v>
      </c>
      <c r="F53" s="57">
        <v>46109</v>
      </c>
      <c r="G53" s="10"/>
      <c r="H53" s="10"/>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1:64" s="3" customFormat="1" ht="30" customHeight="1" x14ac:dyDescent="0.25">
      <c r="A54" s="26"/>
      <c r="B54" s="42"/>
      <c r="C54" s="38"/>
      <c r="D54" s="22"/>
      <c r="E54" s="63"/>
      <c r="F54" s="57"/>
      <c r="G54" s="10"/>
      <c r="H54" s="10"/>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1:64" s="3" customFormat="1" ht="30" customHeight="1" x14ac:dyDescent="0.25">
      <c r="A55" s="26"/>
      <c r="B55" s="42"/>
      <c r="C55" s="38"/>
      <c r="D55" s="22"/>
      <c r="E55" s="57"/>
      <c r="F55" s="57"/>
      <c r="G55" s="10"/>
      <c r="H55" s="10"/>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1:64" s="3" customFormat="1" ht="30" customHeight="1" x14ac:dyDescent="0.25">
      <c r="A56" s="26"/>
      <c r="B56" s="11" t="s">
        <v>18</v>
      </c>
      <c r="C56" s="31"/>
      <c r="D56" s="12"/>
      <c r="E56" s="46"/>
      <c r="F56" s="47"/>
      <c r="G56" s="10"/>
      <c r="H56" s="10"/>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1:64" s="3" customFormat="1" ht="30" customHeight="1" x14ac:dyDescent="0.25">
      <c r="A57" s="26"/>
      <c r="B57" s="39" t="s">
        <v>62</v>
      </c>
      <c r="C57" s="32" t="s">
        <v>26</v>
      </c>
      <c r="D57" s="13">
        <v>1</v>
      </c>
      <c r="E57" s="48">
        <v>46110</v>
      </c>
      <c r="F57" s="48">
        <v>46110</v>
      </c>
      <c r="G57" s="10"/>
      <c r="H57" s="10"/>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1:64" s="3" customFormat="1" ht="30" customHeight="1" thickBot="1" x14ac:dyDescent="0.3">
      <c r="A58" s="26"/>
      <c r="B58" s="39" t="s">
        <v>63</v>
      </c>
      <c r="C58" s="32" t="s">
        <v>26</v>
      </c>
      <c r="D58" s="13">
        <v>1</v>
      </c>
      <c r="E58" s="48">
        <v>46110</v>
      </c>
      <c r="F58" s="48">
        <v>46110</v>
      </c>
      <c r="G58" s="10"/>
      <c r="H58" s="10"/>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1:64" s="3" customFormat="1" ht="30" customHeight="1" thickBot="1" x14ac:dyDescent="0.3">
      <c r="A59" s="26"/>
      <c r="B59" s="39" t="s">
        <v>64</v>
      </c>
      <c r="C59" s="32" t="s">
        <v>29</v>
      </c>
      <c r="D59" s="13">
        <v>1</v>
      </c>
      <c r="E59" s="48">
        <v>46110</v>
      </c>
      <c r="F59" s="48">
        <v>46110</v>
      </c>
      <c r="G59" s="10"/>
      <c r="H59" s="10"/>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1:64" s="3" customFormat="1" ht="30" customHeight="1" thickBot="1" x14ac:dyDescent="0.3">
      <c r="A60" s="26"/>
      <c r="B60" s="39"/>
      <c r="C60" s="32"/>
      <c r="D60" s="13"/>
      <c r="E60" s="48"/>
      <c r="F60" s="48"/>
      <c r="G60" s="10"/>
      <c r="H60" s="10"/>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1:64" s="3" customFormat="1" ht="30" customHeight="1" thickBot="1" x14ac:dyDescent="0.3">
      <c r="A61" s="26"/>
      <c r="B61" s="39"/>
      <c r="C61" s="32"/>
      <c r="D61" s="13"/>
      <c r="E61" s="48"/>
      <c r="F61" s="48"/>
      <c r="G61" s="10"/>
      <c r="H61" s="10"/>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1:64" s="3" customFormat="1" ht="30" customHeight="1" thickBot="1" x14ac:dyDescent="0.3">
      <c r="A62" s="26" t="s">
        <v>65</v>
      </c>
      <c r="B62" s="14" t="s">
        <v>66</v>
      </c>
      <c r="C62" s="33"/>
      <c r="D62" s="15"/>
      <c r="E62" s="49"/>
      <c r="F62" s="50"/>
      <c r="G62" s="10"/>
      <c r="H62" s="10" t="str">
        <f t="shared" si="6"/>
        <v/>
      </c>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1:64" ht="30" customHeight="1" thickBot="1" x14ac:dyDescent="0.3">
      <c r="B63" s="62" t="s">
        <v>67</v>
      </c>
      <c r="C63" s="34" t="s">
        <v>26</v>
      </c>
      <c r="D63" s="16">
        <v>1</v>
      </c>
      <c r="E63" s="51">
        <v>46111</v>
      </c>
      <c r="F63" s="51">
        <v>46113</v>
      </c>
      <c r="G63" s="10"/>
      <c r="H63" s="10">
        <f t="shared" si="6"/>
        <v>3</v>
      </c>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1:64" ht="30" customHeight="1" thickBot="1" x14ac:dyDescent="0.3">
      <c r="B64" s="40" t="s">
        <v>68</v>
      </c>
      <c r="C64" s="34" t="s">
        <v>26</v>
      </c>
      <c r="D64" s="16">
        <v>1</v>
      </c>
      <c r="E64" s="51">
        <v>46114</v>
      </c>
      <c r="F64" s="51">
        <v>46116</v>
      </c>
      <c r="G64" s="10"/>
      <c r="H64" s="10">
        <f t="shared" si="6"/>
        <v>3</v>
      </c>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2:64" ht="30" customHeight="1" thickBot="1" x14ac:dyDescent="0.3">
      <c r="B65" s="40" t="s">
        <v>58</v>
      </c>
      <c r="C65" s="34" t="s">
        <v>29</v>
      </c>
      <c r="D65" s="16">
        <v>1</v>
      </c>
      <c r="E65" s="51">
        <v>46118</v>
      </c>
      <c r="F65" s="51">
        <v>46120</v>
      </c>
      <c r="G65" s="10"/>
      <c r="H65" s="10">
        <f t="shared" si="6"/>
        <v>3</v>
      </c>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2:64" ht="30" customHeight="1" thickBot="1" x14ac:dyDescent="0.3">
      <c r="B66" s="40"/>
      <c r="C66" s="34"/>
      <c r="D66" s="16"/>
      <c r="E66" s="51"/>
      <c r="F66" s="51"/>
      <c r="G66" s="10"/>
      <c r="H66" s="10"/>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2:64" ht="30" customHeight="1" thickBot="1" x14ac:dyDescent="0.3">
      <c r="B67" s="40"/>
      <c r="C67" s="34"/>
      <c r="D67" s="16"/>
      <c r="E67" s="51"/>
      <c r="F67" s="51"/>
      <c r="G67" s="10"/>
      <c r="H67" s="10" t="str">
        <f t="shared" si="6"/>
        <v/>
      </c>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2:64" ht="30" customHeight="1" thickBot="1" x14ac:dyDescent="0.3">
      <c r="B68" s="20" t="s">
        <v>69</v>
      </c>
      <c r="C68" s="37"/>
      <c r="D68" s="21"/>
      <c r="E68" s="55"/>
      <c r="F68" s="56"/>
      <c r="G68" s="10"/>
      <c r="H68" s="10" t="str">
        <f t="shared" si="6"/>
        <v/>
      </c>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2:64" ht="30" customHeight="1" thickBot="1" x14ac:dyDescent="0.3">
      <c r="B69" s="42" t="s">
        <v>72</v>
      </c>
      <c r="C69" s="38" t="s">
        <v>29</v>
      </c>
      <c r="D69" s="19">
        <v>1</v>
      </c>
      <c r="E69" s="57">
        <v>46121</v>
      </c>
      <c r="F69" s="57">
        <v>46123</v>
      </c>
      <c r="G69" s="10"/>
      <c r="H69" s="10">
        <f t="shared" si="6"/>
        <v>3</v>
      </c>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2:64" ht="30" customHeight="1" thickBot="1" x14ac:dyDescent="0.3">
      <c r="B70" s="42" t="s">
        <v>71</v>
      </c>
      <c r="C70" s="38" t="s">
        <v>29</v>
      </c>
      <c r="D70" s="19">
        <v>1</v>
      </c>
      <c r="E70" s="57">
        <v>46125</v>
      </c>
      <c r="F70" s="57">
        <v>46128</v>
      </c>
      <c r="G70" s="10"/>
      <c r="H70" s="10">
        <f t="shared" si="6"/>
        <v>4</v>
      </c>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2:64" ht="30" customHeight="1" thickBot="1" x14ac:dyDescent="0.3">
      <c r="B71" s="42" t="s">
        <v>73</v>
      </c>
      <c r="C71" s="38" t="s">
        <v>29</v>
      </c>
      <c r="D71" s="19">
        <v>1</v>
      </c>
      <c r="E71" s="57">
        <v>46129</v>
      </c>
      <c r="F71" s="57">
        <v>46130</v>
      </c>
      <c r="G71" s="10"/>
      <c r="H71" s="10">
        <f t="shared" si="6"/>
        <v>2</v>
      </c>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2:64" ht="30" customHeight="1" thickBot="1" x14ac:dyDescent="0.3">
      <c r="B72" s="42" t="s">
        <v>74</v>
      </c>
      <c r="C72" s="38" t="s">
        <v>26</v>
      </c>
      <c r="D72" s="19">
        <v>1</v>
      </c>
      <c r="E72" s="57">
        <v>46132</v>
      </c>
      <c r="F72" s="57">
        <v>46134</v>
      </c>
      <c r="G72" s="10"/>
      <c r="H72" s="10">
        <f t="shared" ref="H72:H73" si="7">IF(OR(ISBLANK(task_start),ISBLANK(task_end)),"",task_end-task_start+1)</f>
        <v>3</v>
      </c>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2:64" ht="30" customHeight="1" thickBot="1" x14ac:dyDescent="0.3">
      <c r="B73" s="42" t="s">
        <v>24</v>
      </c>
      <c r="C73" s="38" t="s">
        <v>26</v>
      </c>
      <c r="D73" s="19">
        <v>1</v>
      </c>
      <c r="E73" s="57">
        <v>46135</v>
      </c>
      <c r="F73" s="57">
        <v>46136</v>
      </c>
      <c r="G73" s="10"/>
      <c r="H73" s="10">
        <f t="shared" si="7"/>
        <v>2</v>
      </c>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2:64" ht="30" customHeight="1" thickBot="1" x14ac:dyDescent="0.3">
      <c r="B74" s="42" t="s">
        <v>75</v>
      </c>
      <c r="C74" s="38" t="s">
        <v>26</v>
      </c>
      <c r="D74" s="19">
        <v>1</v>
      </c>
      <c r="E74" s="57">
        <v>46135</v>
      </c>
      <c r="F74" s="57">
        <v>46136</v>
      </c>
      <c r="G74" s="10"/>
      <c r="H74" s="10"/>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2:64" ht="30" customHeight="1" thickBot="1" x14ac:dyDescent="0.3">
      <c r="B75" s="42" t="s">
        <v>76</v>
      </c>
      <c r="C75" s="38" t="s">
        <v>26</v>
      </c>
      <c r="D75" s="19">
        <v>1</v>
      </c>
      <c r="E75" s="57">
        <v>46137</v>
      </c>
      <c r="F75" s="57">
        <v>46138</v>
      </c>
      <c r="G75" s="10"/>
      <c r="H75" s="10"/>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2:64" ht="30" customHeight="1" thickBot="1" x14ac:dyDescent="0.3">
      <c r="B76" s="42" t="s">
        <v>70</v>
      </c>
      <c r="C76" s="38" t="s">
        <v>26</v>
      </c>
      <c r="D76" s="19">
        <v>1</v>
      </c>
      <c r="E76" s="57">
        <v>46138</v>
      </c>
      <c r="F76" s="57">
        <v>46138</v>
      </c>
      <c r="G76" s="10"/>
      <c r="H76" s="10"/>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2:64" ht="30" customHeight="1" thickBot="1" x14ac:dyDescent="0.3">
      <c r="B77" s="42"/>
      <c r="C77" s="38"/>
      <c r="D77" s="57"/>
      <c r="E77" s="57"/>
      <c r="F77" s="57"/>
      <c r="G77" s="10"/>
      <c r="H77" s="10"/>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2:64" ht="30" customHeight="1" thickBot="1" x14ac:dyDescent="0.3">
      <c r="B78" s="38"/>
      <c r="C78" s="38"/>
      <c r="D78" s="57"/>
      <c r="E78" s="57"/>
      <c r="F78" s="57"/>
      <c r="G78" s="10"/>
      <c r="H78" s="10"/>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76">
    <cfRule type="dataBar" priority="17">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77">
    <cfRule type="expression" dxfId="5" priority="36">
      <formula>AND(TODAY()&gt;=I$5,TODAY()&lt;J$5)</formula>
    </cfRule>
  </conditionalFormatting>
  <conditionalFormatting sqref="I7:BL77">
    <cfRule type="expression" dxfId="4" priority="30">
      <formula>AND(task_start&lt;=I$5,ROUNDDOWN((task_end-task_start+1)*task_progress,0)+task_start-1&gt;=I$5)</formula>
    </cfRule>
    <cfRule type="expression" dxfId="3" priority="31" stopIfTrue="1">
      <formula>AND(task_end&gt;=I$5,task_start&lt;J$5)</formula>
    </cfRule>
  </conditionalFormatting>
  <conditionalFormatting sqref="I78:BL78">
    <cfRule type="expression" dxfId="2" priority="3">
      <formula>AND(TODAY()&gt;=I$5,TODAY()&lt;J$5)</formula>
    </cfRule>
  </conditionalFormatting>
  <conditionalFormatting sqref="I78:BL78">
    <cfRule type="expression" dxfId="1" priority="1">
      <formula>AND(task_start&lt;=I$5,ROUNDDOWN((task_end-task_start+1)*task_progress,0)+task_start-1&gt;=I$5)</formula>
    </cfRule>
    <cfRule type="expression" dxfId="0" priority="2" stopIfTrue="1">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printOptions horizontalCentered="1"/>
  <pageMargins left="0.35" right="0.35" top="0.35" bottom="0.5" header="0.3" footer="0.3"/>
  <pageSetup paperSize="9" scale="51"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D7:D76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8FE8ED85-58B3-4608-8E91-0433556D50C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ProjectSchedule</vt:lpstr>
      <vt:lpstr>Inicio_del_proyecto</vt:lpstr>
      <vt:lpstr>Semana_para_mostrar</vt:lpstr>
      <vt:lpstr>ProjectSchedule!task_end</vt:lpstr>
      <vt:lpstr>ProjectSchedule!task_progress</vt:lpstr>
      <vt:lpstr>ProjectSchedule!task_start</vt:lpstr>
      <vt:lpstr>ProjectSchedule!Títulos_a_imprimir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2026-03-29T16:23:00Z</dcterms:created>
  <dcterms:modified xsi:type="dcterms:W3CDTF">2026-04-26T18:22:19Z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