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codeName="ThisWorkbook"/>
  <xr:revisionPtr revIDLastSave="0" documentId="8_{21921DD8-653E-4B00-A569-A8FA25B8D4B5}" xr6:coauthVersionLast="47" xr6:coauthVersionMax="47" xr10:uidLastSave="{00000000-0000-0000-0000-000000000000}"/>
  <bookViews>
    <workbookView xWindow="-120" yWindow="-120" windowWidth="38640" windowHeight="21120" xr2:uid="{00000000-000D-0000-FFFF-FFFF00000000}"/>
  </bookViews>
  <sheets>
    <sheet name="ProjectSchedule" sheetId="11" r:id="rId1"/>
  </sheets>
  <definedNames>
    <definedName name="hoy" localSheetId="0">TODAY()</definedName>
    <definedName name="Inicio_del_proyecto">ProjectSchedule!$E$3</definedName>
    <definedName name="Semana_para_mostrar">ProjectSchedule!$E$4</definedName>
    <definedName name="task_end" localSheetId="0">ProjectSchedule!$F1</definedName>
    <definedName name="task_progress" localSheetId="0">ProjectSchedule!$D1</definedName>
    <definedName name="task_start" localSheetId="0">ProjectSchedule!$E1</definedName>
    <definedName name="_xlnm.Print_Titles" localSheetId="0">ProjectSchedule!$4:$6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1" l="1"/>
  <c r="H11" i="11"/>
  <c r="H12" i="11"/>
  <c r="H13" i="11"/>
  <c r="E9" i="11"/>
  <c r="F9" i="11" s="1"/>
  <c r="H7" i="11"/>
  <c r="H22" i="11" l="1"/>
  <c r="I5" i="11"/>
  <c r="H60" i="11"/>
  <c r="H31" i="11"/>
  <c r="H30" i="11"/>
  <c r="H29" i="11"/>
  <c r="H28" i="11"/>
  <c r="H26" i="11"/>
  <c r="H21" i="11"/>
  <c r="H20" i="11"/>
  <c r="H14" i="11"/>
  <c r="H8" i="11"/>
  <c r="I6" i="11" l="1"/>
  <c r="H9" i="11" l="1"/>
  <c r="H27" i="11"/>
  <c r="H25" i="11"/>
  <c r="H15" i="11"/>
  <c r="J5" i="11"/>
  <c r="K5" i="11" s="1"/>
  <c r="L5" i="11" s="1"/>
  <c r="M5" i="11" s="1"/>
  <c r="N5" i="11" s="1"/>
  <c r="O5" i="11" s="1"/>
  <c r="P5" i="11" s="1"/>
  <c r="I4" i="11"/>
  <c r="H23" i="11" l="1"/>
  <c r="H24" i="11"/>
  <c r="H16" i="11"/>
  <c r="P4" i="11"/>
  <c r="Q5" i="11"/>
  <c r="R5" i="11" s="1"/>
  <c r="S5" i="11" s="1"/>
  <c r="T5" i="11" s="1"/>
  <c r="U5" i="11" s="1"/>
  <c r="V5" i="11" s="1"/>
  <c r="W5" i="11" s="1"/>
  <c r="J6" i="11"/>
  <c r="H19" i="11" l="1"/>
  <c r="H18" i="11"/>
  <c r="H17" i="11"/>
  <c r="W4" i="1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T6" i="11" l="1"/>
  <c r="P6" i="11" l="1"/>
  <c r="R6" i="11" l="1"/>
  <c r="S6" i="11" l="1"/>
  <c r="AR6" i="11"/>
  <c r="AU5" i="11" s="1"/>
  <c r="AV5" i="11" s="1"/>
  <c r="AQ6" i="11"/>
  <c r="AP6" i="11"/>
  <c r="AO6" i="11"/>
  <c r="AN6" i="11"/>
  <c r="AM6" i="11"/>
  <c r="AL6" i="11"/>
  <c r="AK6" i="11"/>
  <c r="AJ6" i="11"/>
  <c r="AI6" i="11"/>
  <c r="AH6" i="11"/>
  <c r="AG6" i="11"/>
  <c r="AF6" i="11"/>
  <c r="AE6" i="11"/>
  <c r="AD6" i="11"/>
  <c r="AC6" i="11"/>
  <c r="AB6" i="11"/>
  <c r="AA6" i="11"/>
  <c r="Z6" i="11"/>
  <c r="Y6" i="11"/>
  <c r="X6" i="11"/>
  <c r="W6" i="11"/>
  <c r="V6" i="11"/>
  <c r="U6" i="11"/>
  <c r="T6" i="11"/>
  <c r="Q6" i="11"/>
  <c r="AW5" i="11" l="1"/>
  <c r="AX5" i="11" s="1"/>
  <c r="AV6" i="11"/>
  <c r="AU6" i="11"/>
  <c r="AW6" i="11"/>
  <c r="AY5" i="11" l="1"/>
  <c r="AZ5" i="11" l="1"/>
  <c r="AY6" i="11"/>
  <c r="AY4" i="11"/>
  <c r="AX6" i="11" s="1"/>
  <c r="BA5" i="11" l="1"/>
  <c r="AZ6" i="11"/>
  <c r="BB5" i="11" l="1"/>
  <c r="BA6" i="11"/>
  <c r="BB6" i="11" l="1"/>
  <c r="BC5" i="11"/>
  <c r="BD5" i="11" l="1"/>
  <c r="BC6" i="11"/>
  <c r="BE5" i="11" l="1"/>
  <c r="BD6" i="11"/>
  <c r="BF5" i="11" l="1"/>
  <c r="BF4" i="11" l="1"/>
  <c r="BE6" i="11" s="1"/>
  <c r="BF6" i="11"/>
  <c r="BG5" i="11"/>
  <c r="BG6" i="11" l="1"/>
  <c r="BH5" i="11"/>
  <c r="BI5" i="11" l="1"/>
  <c r="BH6" i="11"/>
  <c r="BJ5" i="11" l="1"/>
  <c r="BI6" i="11"/>
  <c r="BK5" i="11" l="1"/>
  <c r="BJ6" i="11"/>
  <c r="BL5" i="11" l="1"/>
  <c r="BL6" i="11" s="1"/>
  <c r="BK6" i="11"/>
</calcChain>
</file>

<file path=xl/sharedStrings.xml><?xml version="1.0" encoding="utf-8"?>
<sst xmlns="http://schemas.openxmlformats.org/spreadsheetml/2006/main" count="97" uniqueCount="66">
  <si>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</si>
  <si>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NUTRIBALANCE</t>
  </si>
  <si>
    <t>Escriba el nombre de la compañía en la celda B2.</t>
  </si>
  <si>
    <t>Escriba el nombre del responsable del proyecto en la celda B3. Escriba la fecha de comienzo del proyecto en la celda E3. Inicio del proyecto: la etiqueta se encuentra en la celda C3.</t>
  </si>
  <si>
    <t>Emanuel Carrillo Soto
Kevin Zamora Soto</t>
  </si>
  <si>
    <t>Inicio del proyecto:</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</si>
  <si>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</si>
  <si>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Semana para mostrar:</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</si>
  <si>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</si>
  <si>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</si>
  <si>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TAREA</t>
  </si>
  <si>
    <t>ASIGNADO
A</t>
  </si>
  <si>
    <t>PROGRESO</t>
  </si>
  <si>
    <t>INICIO</t>
  </si>
  <si>
    <t>FIN</t>
  </si>
  <si>
    <t>DÍAS</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</si>
  <si>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</si>
  <si>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</si>
  <si>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Analisis del proyecto</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</si>
  <si>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</si>
  <si>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Entregable #1</t>
  </si>
  <si>
    <t>Kevin Z y Emanuel C</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</si>
  <si>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</si>
  <si>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</si>
  <si>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Gestión de usuarios</t>
  </si>
  <si>
    <t>Crear clase Usuario</t>
  </si>
  <si>
    <t>Kevin Z</t>
  </si>
  <si>
    <t>Crear formulario de registro</t>
  </si>
  <si>
    <t>Validar campos obligatorios</t>
  </si>
  <si>
    <t>Emanuel C</t>
  </si>
  <si>
    <t>Guardar en JSON</t>
  </si>
  <si>
    <t>Edición de usuario</t>
  </si>
  <si>
    <t>Bloque de título fase de ejemplo</t>
  </si>
  <si>
    <t>Gestión de alimentos</t>
  </si>
  <si>
    <t>Crear clase Alimento</t>
  </si>
  <si>
    <t>Crear formulario alimento</t>
  </si>
  <si>
    <t>Validar macros</t>
  </si>
  <si>
    <t>Guardar alimento JSON</t>
  </si>
  <si>
    <t>Edición de alimentos</t>
  </si>
  <si>
    <t>Gestión de menús</t>
  </si>
  <si>
    <t>Crear clase Menu</t>
  </si>
  <si>
    <t>Asociar alimentos</t>
  </si>
  <si>
    <t>Registrar fecha</t>
  </si>
  <si>
    <t>Guardar menú</t>
  </si>
  <si>
    <t>Buscar por fecha</t>
  </si>
  <si>
    <t>Interfaz gráfica</t>
  </si>
  <si>
    <t>Diseño de interfaz</t>
  </si>
  <si>
    <t>Diseño en canvas</t>
  </si>
  <si>
    <t>Implementación WinForms</t>
  </si>
  <si>
    <t>Cálculo nutricional</t>
  </si>
  <si>
    <t>Crear clase cálculo</t>
  </si>
  <si>
    <t>Aplicar fórmula base</t>
  </si>
  <si>
    <t>Calcular calorías</t>
  </si>
  <si>
    <t>Calcular macros</t>
  </si>
  <si>
    <t>Consultas</t>
  </si>
  <si>
    <t>Consultar menú diario</t>
  </si>
  <si>
    <t>Calcular resumen</t>
  </si>
  <si>
    <t>Histórico mensual</t>
  </si>
  <si>
    <t>Carga de datos</t>
  </si>
  <si>
    <t>Leer archivos JSON</t>
  </si>
  <si>
    <t>Validar datos</t>
  </si>
  <si>
    <t>Cargar en memoria</t>
  </si>
  <si>
    <t>Pruebas de funcionamiento total</t>
  </si>
  <si>
    <t>Correcciones Sonar</t>
  </si>
  <si>
    <t>Documentación</t>
  </si>
  <si>
    <t>Esta es una fila vacía.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</si>
</sst>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m\-yy;@"/>
    <numFmt numFmtId="169" formatCode="d"/>
    <numFmt numFmtId="170" formatCode="ddd\,\ yyyy\-mm\-dd;@"/>
    <numFmt numFmtId="171" formatCode="d\ &quot;de&quot;\ mmmm\ &quot;de&quot;\ yyyy"/>
  </numFmts>
  <fonts count="30"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u/>
      <sz val="11"/>
      <color theme="1"/>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70" fontId="7" fillId="0" borderId="3">
      <alignment horizontal="center" vertical="center"/>
    </xf>
    <xf numFmtId="168"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7"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18" fillId="0" borderId="0" applyNumberFormat="0" applyFill="0" applyBorder="0" applyAlignment="0" applyProtection="0"/>
    <xf numFmtId="0" fontId="19" fillId="13" borderId="0" applyNumberFormat="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11" applyNumberFormat="0" applyAlignment="0" applyProtection="0"/>
    <xf numFmtId="0" fontId="23" fillId="17" borderId="12" applyNumberFormat="0" applyAlignment="0" applyProtection="0"/>
    <xf numFmtId="0" fontId="24" fillId="17" borderId="11" applyNumberFormat="0" applyAlignment="0" applyProtection="0"/>
    <xf numFmtId="0" fontId="25" fillId="0" borderId="13" applyNumberFormat="0" applyFill="0" applyAlignment="0" applyProtection="0"/>
    <xf numFmtId="0" fontId="26" fillId="18" borderId="14" applyNumberFormat="0" applyAlignment="0" applyProtection="0"/>
    <xf numFmtId="0" fontId="27" fillId="0" borderId="0" applyNumberFormat="0" applyFill="0" applyBorder="0" applyAlignment="0" applyProtection="0"/>
    <xf numFmtId="0" fontId="7" fillId="19"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20"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14" fillId="24"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14" fillId="28"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14" fillId="32" borderId="0" applyNumberFormat="0" applyBorder="0" applyAlignment="0" applyProtection="0"/>
    <xf numFmtId="0" fontId="7"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14" fillId="36" borderId="0" applyNumberFormat="0" applyBorder="0" applyAlignment="0" applyProtection="0"/>
    <xf numFmtId="0" fontId="7"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14" fillId="40" borderId="0" applyNumberFormat="0" applyBorder="0" applyAlignment="0" applyProtection="0"/>
    <xf numFmtId="0" fontId="7" fillId="41" borderId="0" applyNumberFormat="0" applyBorder="0" applyAlignment="0" applyProtection="0"/>
    <xf numFmtId="0" fontId="7" fillId="42" borderId="0" applyNumberFormat="0" applyBorder="0" applyAlignment="0" applyProtection="0"/>
    <xf numFmtId="0" fontId="7" fillId="43" borderId="0" applyNumberFormat="0" applyBorder="0" applyAlignment="0" applyProtection="0"/>
  </cellStyleXfs>
  <cellXfs count="7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2" borderId="1" xfId="0" applyFont="1" applyFill="1" applyBorder="1" applyAlignment="1">
      <alignment horizontal="left" vertical="center" indent="1"/>
    </xf>
    <xf numFmtId="0" fontId="6" fillId="12" borderId="1" xfId="0" applyFont="1" applyFill="1" applyBorder="1" applyAlignment="1">
      <alignment horizontal="center" vertical="center" wrapText="1"/>
    </xf>
    <xf numFmtId="0" fontId="10" fillId="11" borderId="8" xfId="0" applyFont="1" applyFill="1" applyBorder="1" applyAlignment="1">
      <alignment horizontal="center" vertical="center" shrinkToFit="1"/>
    </xf>
    <xf numFmtId="0" fontId="12" fillId="0" borderId="0" xfId="0" applyFont="1"/>
    <xf numFmtId="0" fontId="13" fillId="0" borderId="0" xfId="1" applyFont="1" applyAlignment="1" applyProtection="1"/>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2" applyFont="1" applyFill="1" applyBorder="1" applyAlignment="1">
      <alignment horizontal="center" vertical="center"/>
    </xf>
    <xf numFmtId="9" fontId="4" fillId="2" borderId="2" xfId="2"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9" borderId="2" xfId="2"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horizontal="center"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6"/>
    <xf numFmtId="0" fontId="7" fillId="7" borderId="2" xfId="11" applyFill="1">
      <alignment horizontal="center" vertical="center"/>
    </xf>
    <xf numFmtId="0" fontId="7" fillId="2" borderId="2" xfId="11" applyFill="1">
      <alignment horizontal="center" vertical="center"/>
    </xf>
    <xf numFmtId="0" fontId="7" fillId="8" borderId="2" xfId="11" applyFill="1">
      <alignment horizontal="center" vertical="center"/>
    </xf>
    <xf numFmtId="0" fontId="7" fillId="3" borderId="2" xfId="11" applyFill="1">
      <alignment horizontal="center" vertical="center"/>
    </xf>
    <xf numFmtId="0" fontId="7" fillId="5" borderId="2" xfId="11" applyFill="1">
      <alignment horizontal="center" vertical="center"/>
    </xf>
    <xf numFmtId="0" fontId="7" fillId="10" borderId="2" xfId="11" applyFill="1">
      <alignment horizontal="center" vertical="center"/>
    </xf>
    <xf numFmtId="0" fontId="7" fillId="4" borderId="2" xfId="11" applyFill="1">
      <alignment horizontal="center" vertical="center"/>
    </xf>
    <xf numFmtId="0" fontId="7" fillId="9" borderId="2" xfId="11" applyFill="1">
      <alignment horizontal="center" vertical="center"/>
    </xf>
    <xf numFmtId="0" fontId="7" fillId="0" borderId="2" xfId="11">
      <alignment horizontal="center" vertical="center"/>
    </xf>
    <xf numFmtId="0" fontId="7" fillId="2" borderId="2" xfId="12" applyFill="1">
      <alignment horizontal="left" vertical="center" indent="2"/>
    </xf>
    <xf numFmtId="0" fontId="7" fillId="3" borderId="2" xfId="12" applyFill="1">
      <alignment horizontal="left" vertical="center" indent="2"/>
    </xf>
    <xf numFmtId="0" fontId="7" fillId="10" borderId="2" xfId="12" applyFill="1">
      <alignment horizontal="left" vertical="center" indent="2"/>
    </xf>
    <xf numFmtId="0" fontId="7" fillId="9" borderId="2" xfId="12" applyFill="1">
      <alignment horizontal="left" vertical="center" indent="2"/>
    </xf>
    <xf numFmtId="0" fontId="7" fillId="0" borderId="2" xfId="12">
      <alignment horizontal="left" vertical="center" indent="2"/>
    </xf>
    <xf numFmtId="0" fontId="0" fillId="0" borderId="10" xfId="0" applyBorder="1"/>
    <xf numFmtId="0" fontId="15" fillId="0" borderId="0" xfId="0" applyFont="1"/>
    <xf numFmtId="0" fontId="16" fillId="0" borderId="0" xfId="1" applyFont="1" applyProtection="1">
      <alignment vertical="top"/>
    </xf>
    <xf numFmtId="168" fontId="0" fillId="7" borderId="2" xfId="0" applyNumberFormat="1" applyFill="1" applyBorder="1" applyAlignment="1">
      <alignment horizontal="center" vertical="center"/>
    </xf>
    <xf numFmtId="168" fontId="4" fillId="7" borderId="2" xfId="0" applyNumberFormat="1" applyFont="1" applyFill="1" applyBorder="1" applyAlignment="1">
      <alignment horizontal="center" vertical="center"/>
    </xf>
    <xf numFmtId="168" fontId="7" fillId="2" borderId="2" xfId="10" applyFill="1">
      <alignment horizontal="center" vertical="center"/>
    </xf>
    <xf numFmtId="168" fontId="0" fillId="8" borderId="2" xfId="0" applyNumberFormat="1" applyFill="1" applyBorder="1" applyAlignment="1">
      <alignment horizontal="center" vertical="center"/>
    </xf>
    <xf numFmtId="168" fontId="4" fillId="8" borderId="2" xfId="0" applyNumberFormat="1" applyFont="1" applyFill="1" applyBorder="1" applyAlignment="1">
      <alignment horizontal="center" vertical="center"/>
    </xf>
    <xf numFmtId="168" fontId="7" fillId="3" borderId="2" xfId="10" applyFill="1">
      <alignment horizontal="center" vertical="center"/>
    </xf>
    <xf numFmtId="168" fontId="0" fillId="5" borderId="2" xfId="0" applyNumberFormat="1" applyFill="1" applyBorder="1" applyAlignment="1">
      <alignment horizontal="center" vertical="center"/>
    </xf>
    <xf numFmtId="168" fontId="4" fillId="5" borderId="2" xfId="0" applyNumberFormat="1" applyFont="1" applyFill="1" applyBorder="1" applyAlignment="1">
      <alignment horizontal="center" vertical="center"/>
    </xf>
    <xf numFmtId="168" fontId="7" fillId="10" borderId="2" xfId="10" applyFill="1">
      <alignment horizontal="center" vertical="center"/>
    </xf>
    <xf numFmtId="168" fontId="0" fillId="4" borderId="2" xfId="0" applyNumberFormat="1" applyFill="1" applyBorder="1" applyAlignment="1">
      <alignment horizontal="center" vertical="center"/>
    </xf>
    <xf numFmtId="168" fontId="4" fillId="4" borderId="2" xfId="0" applyNumberFormat="1" applyFont="1" applyFill="1" applyBorder="1" applyAlignment="1">
      <alignment horizontal="center" vertical="center"/>
    </xf>
    <xf numFmtId="168" fontId="7" fillId="9" borderId="2" xfId="10" applyFill="1">
      <alignment horizontal="center" vertical="center"/>
    </xf>
    <xf numFmtId="168" fontId="7" fillId="0" borderId="2" xfId="10">
      <alignment horizontal="center" vertical="center"/>
    </xf>
    <xf numFmtId="169" fontId="9" fillId="6" borderId="6" xfId="0" applyNumberFormat="1" applyFont="1" applyFill="1" applyBorder="1" applyAlignment="1">
      <alignment horizontal="center" vertical="center"/>
    </xf>
    <xf numFmtId="169" fontId="9" fillId="6" borderId="0" xfId="0" applyNumberFormat="1" applyFont="1" applyFill="1" applyAlignment="1">
      <alignment horizontal="center" vertical="center"/>
    </xf>
    <xf numFmtId="169" fontId="9" fillId="6" borderId="7" xfId="0" applyNumberFormat="1" applyFont="1" applyFill="1" applyBorder="1" applyAlignment="1">
      <alignment horizontal="center" vertical="center"/>
    </xf>
    <xf numFmtId="0" fontId="8" fillId="0" borderId="0" xfId="7" applyAlignment="1">
      <alignment vertical="top" wrapText="1"/>
    </xf>
    <xf numFmtId="0" fontId="0" fillId="3" borderId="2" xfId="12" applyFont="1" applyFill="1">
      <alignment horizontal="left" vertical="center" indent="2"/>
    </xf>
    <xf numFmtId="168" fontId="29" fillId="9" borderId="2" xfId="10" applyFont="1" applyFill="1">
      <alignment horizontal="center" vertical="center"/>
    </xf>
    <xf numFmtId="168" fontId="29" fillId="0" borderId="2" xfId="10" applyFont="1">
      <alignment horizontal="center" vertical="center"/>
    </xf>
    <xf numFmtId="171" fontId="0" fillId="6" borderId="4" xfId="0" applyNumberFormat="1" applyFill="1" applyBorder="1" applyAlignment="1">
      <alignment horizontal="left" vertical="center" wrapText="1" indent="1"/>
    </xf>
    <xf numFmtId="171" fontId="0" fillId="6" borderId="1" xfId="0" applyNumberFormat="1" applyFill="1" applyBorder="1" applyAlignment="1">
      <alignment horizontal="left" vertical="center" wrapText="1" indent="1"/>
    </xf>
    <xf numFmtId="171" fontId="0" fillId="6" borderId="5" xfId="0" applyNumberFormat="1" applyFill="1" applyBorder="1" applyAlignment="1">
      <alignment horizontal="left" vertical="center" wrapText="1" indent="1"/>
    </xf>
    <xf numFmtId="170" fontId="7" fillId="0" borderId="3" xfId="9">
      <alignment horizontal="center" vertical="center"/>
    </xf>
    <xf numFmtId="0" fontId="7" fillId="0" borderId="0" xfId="8">
      <alignment horizontal="right" indent="1"/>
    </xf>
    <xf numFmtId="0" fontId="7" fillId="0" borderId="7" xfId="8" applyBorder="1">
      <alignment horizontal="right" indent="1"/>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3"/>
  <sheetViews>
    <sheetView showGridLines="0" tabSelected="1" showRuler="0" zoomScaleNormal="100" zoomScalePageLayoutView="70" workbookViewId="0">
      <pane ySplit="6" topLeftCell="A8" activePane="bottomLeft" state="frozen"/>
      <selection pane="bottomLeft" activeCell="N12" sqref="N12"/>
    </sheetView>
  </sheetViews>
  <sheetFormatPr baseColWidth="10" defaultColWidth="9.140625" defaultRowHeight="30" customHeight="1" x14ac:dyDescent="0.25"/>
  <cols>
    <col min="1" max="1" width="2.7109375" style="30" customWidth="1"/>
    <col min="2" max="2" width="32" bestFit="1" customWidth="1"/>
    <col min="3" max="3" width="30.7109375" customWidth="1"/>
    <col min="4" max="4" width="10.7109375" customWidth="1"/>
    <col min="5" max="5" width="10.42578125" style="5" customWidth="1"/>
    <col min="6" max="6" width="10.42578125" customWidth="1"/>
    <col min="7" max="7" width="3.140625" customWidth="1"/>
    <col min="8" max="8" width="6.140625" hidden="1" customWidth="1"/>
    <col min="9" max="64" width="3.140625" customWidth="1"/>
    <col min="69" max="70" width="10.28515625"/>
  </cols>
  <sheetData>
    <row r="1" spans="1:64" ht="30" customHeight="1" x14ac:dyDescent="0.45">
      <c r="A1" s="31" t="s">
        <v>0</v>
      </c>
      <c r="B1" s="34" t="s">
        <v>1</v>
      </c>
      <c r="C1" s="1"/>
      <c r="D1" s="2"/>
      <c r="E1" s="4"/>
      <c r="F1" s="29"/>
      <c r="H1" s="2"/>
      <c r="I1" s="51"/>
    </row>
    <row r="2" spans="1:64" ht="30" customHeight="1" x14ac:dyDescent="0.3">
      <c r="A2" s="30" t="s">
        <v>2</v>
      </c>
      <c r="B2" s="35"/>
      <c r="I2" s="52"/>
    </row>
    <row r="3" spans="1:64" ht="35.25" customHeight="1" x14ac:dyDescent="0.25">
      <c r="A3" s="30" t="s">
        <v>3</v>
      </c>
      <c r="B3" s="69" t="s">
        <v>4</v>
      </c>
      <c r="C3" s="77" t="s">
        <v>5</v>
      </c>
      <c r="D3" s="78"/>
      <c r="E3" s="76">
        <v>46086</v>
      </c>
      <c r="F3" s="76"/>
    </row>
    <row r="4" spans="1:64" ht="30" customHeight="1" x14ac:dyDescent="0.25">
      <c r="A4" s="31" t="s">
        <v>6</v>
      </c>
      <c r="C4" s="77" t="s">
        <v>7</v>
      </c>
      <c r="D4" s="78"/>
      <c r="E4" s="7">
        <v>1</v>
      </c>
      <c r="I4" s="73">
        <f>I5</f>
        <v>46083</v>
      </c>
      <c r="J4" s="74"/>
      <c r="K4" s="74"/>
      <c r="L4" s="74"/>
      <c r="M4" s="74"/>
      <c r="N4" s="74"/>
      <c r="O4" s="75"/>
      <c r="P4" s="73">
        <f>P5</f>
        <v>46090</v>
      </c>
      <c r="Q4" s="74"/>
      <c r="R4" s="74"/>
      <c r="S4" s="74"/>
      <c r="T4" s="74"/>
      <c r="U4" s="74"/>
      <c r="V4" s="75"/>
      <c r="W4" s="73">
        <f>W5</f>
        <v>46097</v>
      </c>
      <c r="X4" s="74"/>
      <c r="Y4" s="74"/>
      <c r="Z4" s="74"/>
      <c r="AA4" s="74"/>
      <c r="AB4" s="74"/>
      <c r="AC4" s="75"/>
      <c r="AD4" s="73">
        <f>AD5</f>
        <v>46104</v>
      </c>
      <c r="AE4" s="74"/>
      <c r="AF4" s="74"/>
      <c r="AG4" s="74"/>
      <c r="AH4" s="74"/>
      <c r="AI4" s="74"/>
      <c r="AJ4" s="75"/>
      <c r="AK4" s="73">
        <f>AK5</f>
        <v>46111</v>
      </c>
      <c r="AL4" s="74"/>
      <c r="AM4" s="74"/>
      <c r="AN4" s="74"/>
      <c r="AO4" s="74"/>
      <c r="AP4" s="74"/>
      <c r="AQ4" s="75"/>
      <c r="AR4" s="73">
        <f>AR5</f>
        <v>46118</v>
      </c>
      <c r="AS4" s="74"/>
      <c r="AT4" s="74"/>
      <c r="AU4" s="74"/>
      <c r="AV4" s="74"/>
      <c r="AW4" s="74"/>
      <c r="AX4" s="75"/>
      <c r="AY4" s="73">
        <f>AY5</f>
        <v>46125</v>
      </c>
      <c r="AZ4" s="74"/>
      <c r="BA4" s="74"/>
      <c r="BB4" s="74"/>
      <c r="BC4" s="74"/>
      <c r="BD4" s="74"/>
      <c r="BE4" s="75"/>
      <c r="BF4" s="73">
        <f>BF5</f>
        <v>46132</v>
      </c>
      <c r="BG4" s="74"/>
      <c r="BH4" s="74"/>
      <c r="BI4" s="74"/>
      <c r="BJ4" s="74"/>
      <c r="BK4" s="74"/>
      <c r="BL4" s="75"/>
    </row>
    <row r="5" spans="1:64" ht="15" customHeight="1" x14ac:dyDescent="0.25">
      <c r="A5" s="31" t="s">
        <v>8</v>
      </c>
      <c r="B5" s="50"/>
      <c r="C5" s="50"/>
      <c r="D5" s="50"/>
      <c r="E5" s="50"/>
      <c r="F5" s="50"/>
      <c r="G5" s="50"/>
      <c r="I5" s="66">
        <f>Inicio_del_proyecto-WEEKDAY(Inicio_del_proyecto,1)+2+7*(Semana_para_mostrar-1)</f>
        <v>46083</v>
      </c>
      <c r="J5" s="67">
        <f>I5+1</f>
        <v>46084</v>
      </c>
      <c r="K5" s="67">
        <f t="shared" ref="K5:AX5" si="0">J5+1</f>
        <v>46085</v>
      </c>
      <c r="L5" s="67">
        <f t="shared" si="0"/>
        <v>46086</v>
      </c>
      <c r="M5" s="67">
        <f t="shared" si="0"/>
        <v>46087</v>
      </c>
      <c r="N5" s="67">
        <f t="shared" si="0"/>
        <v>46088</v>
      </c>
      <c r="O5" s="68">
        <f t="shared" si="0"/>
        <v>46089</v>
      </c>
      <c r="P5" s="66">
        <f>O5+1</f>
        <v>46090</v>
      </c>
      <c r="Q5" s="67">
        <f>P5+1</f>
        <v>46091</v>
      </c>
      <c r="R5" s="67">
        <f t="shared" si="0"/>
        <v>46092</v>
      </c>
      <c r="S5" s="67">
        <f t="shared" si="0"/>
        <v>46093</v>
      </c>
      <c r="T5" s="67">
        <f t="shared" si="0"/>
        <v>46094</v>
      </c>
      <c r="U5" s="67">
        <f t="shared" si="0"/>
        <v>46095</v>
      </c>
      <c r="V5" s="68">
        <f t="shared" si="0"/>
        <v>46096</v>
      </c>
      <c r="W5" s="66">
        <f>V5+1</f>
        <v>46097</v>
      </c>
      <c r="X5" s="67">
        <f>W5+1</f>
        <v>46098</v>
      </c>
      <c r="Y5" s="67">
        <f t="shared" si="0"/>
        <v>46099</v>
      </c>
      <c r="Z5" s="67">
        <f t="shared" si="0"/>
        <v>46100</v>
      </c>
      <c r="AA5" s="67">
        <f t="shared" si="0"/>
        <v>46101</v>
      </c>
      <c r="AB5" s="67">
        <f t="shared" si="0"/>
        <v>46102</v>
      </c>
      <c r="AC5" s="68">
        <f t="shared" si="0"/>
        <v>46103</v>
      </c>
      <c r="AD5" s="66">
        <f>AC5+1</f>
        <v>46104</v>
      </c>
      <c r="AE5" s="67">
        <f>AD5+1</f>
        <v>46105</v>
      </c>
      <c r="AF5" s="67">
        <f t="shared" si="0"/>
        <v>46106</v>
      </c>
      <c r="AG5" s="67">
        <f t="shared" si="0"/>
        <v>46107</v>
      </c>
      <c r="AH5" s="67">
        <f t="shared" si="0"/>
        <v>46108</v>
      </c>
      <c r="AI5" s="67">
        <f t="shared" si="0"/>
        <v>46109</v>
      </c>
      <c r="AJ5" s="68">
        <f t="shared" si="0"/>
        <v>46110</v>
      </c>
      <c r="AK5" s="66">
        <f>AJ5+1</f>
        <v>46111</v>
      </c>
      <c r="AL5" s="67">
        <f>AK5+1</f>
        <v>46112</v>
      </c>
      <c r="AM5" s="67">
        <f t="shared" si="0"/>
        <v>46113</v>
      </c>
      <c r="AN5" s="67">
        <f t="shared" si="0"/>
        <v>46114</v>
      </c>
      <c r="AO5" s="67">
        <f t="shared" si="0"/>
        <v>46115</v>
      </c>
      <c r="AP5" s="67">
        <f t="shared" si="0"/>
        <v>46116</v>
      </c>
      <c r="AQ5" s="68">
        <f t="shared" si="0"/>
        <v>46117</v>
      </c>
      <c r="AR5" s="66">
        <f>AQ5+1</f>
        <v>46118</v>
      </c>
      <c r="AS5" s="67">
        <f>AR5+1</f>
        <v>46119</v>
      </c>
      <c r="AT5" s="67">
        <f t="shared" si="0"/>
        <v>46120</v>
      </c>
      <c r="AU5" s="67">
        <f t="shared" si="0"/>
        <v>46121</v>
      </c>
      <c r="AV5" s="67">
        <f t="shared" si="0"/>
        <v>46122</v>
      </c>
      <c r="AW5" s="67">
        <f t="shared" si="0"/>
        <v>46123</v>
      </c>
      <c r="AX5" s="68">
        <f t="shared" si="0"/>
        <v>46124</v>
      </c>
      <c r="AY5" s="66">
        <f>AX5+1</f>
        <v>46125</v>
      </c>
      <c r="AZ5" s="67">
        <f>AY5+1</f>
        <v>46126</v>
      </c>
      <c r="BA5" s="67">
        <f t="shared" ref="BA5:BE5" si="1">AZ5+1</f>
        <v>46127</v>
      </c>
      <c r="BB5" s="67">
        <f t="shared" si="1"/>
        <v>46128</v>
      </c>
      <c r="BC5" s="67">
        <f t="shared" si="1"/>
        <v>46129</v>
      </c>
      <c r="BD5" s="67">
        <f t="shared" si="1"/>
        <v>46130</v>
      </c>
      <c r="BE5" s="68">
        <f t="shared" si="1"/>
        <v>46131</v>
      </c>
      <c r="BF5" s="66">
        <f>BE5+1</f>
        <v>46132</v>
      </c>
      <c r="BG5" s="67">
        <f>BF5+1</f>
        <v>46133</v>
      </c>
      <c r="BH5" s="67">
        <f t="shared" ref="BH5:BL5" si="2">BG5+1</f>
        <v>46134</v>
      </c>
      <c r="BI5" s="67">
        <f t="shared" si="2"/>
        <v>46135</v>
      </c>
      <c r="BJ5" s="67">
        <f t="shared" si="2"/>
        <v>46136</v>
      </c>
      <c r="BK5" s="67">
        <f t="shared" si="2"/>
        <v>46137</v>
      </c>
      <c r="BL5" s="68">
        <f t="shared" si="2"/>
        <v>46138</v>
      </c>
    </row>
    <row r="6" spans="1:64" ht="30" customHeight="1" thickBot="1" x14ac:dyDescent="0.3">
      <c r="A6" s="31" t="s">
        <v>9</v>
      </c>
      <c r="B6" s="8" t="s">
        <v>10</v>
      </c>
      <c r="C6" s="9" t="s">
        <v>11</v>
      </c>
      <c r="D6" s="9" t="s">
        <v>12</v>
      </c>
      <c r="E6" s="9" t="s">
        <v>13</v>
      </c>
      <c r="F6" s="9" t="s">
        <v>14</v>
      </c>
      <c r="G6" s="9"/>
      <c r="H6" s="9" t="s">
        <v>15</v>
      </c>
      <c r="I6" s="10" t="str">
        <f t="shared" ref="I6" si="3">LEFT(TEXT(I5,"ddd"),1)</f>
        <v>l</v>
      </c>
      <c r="J6" s="10" t="str">
        <f t="shared" ref="J6:AR6" si="4">LEFT(TEXT(J5,"ddd"),1)</f>
        <v>m</v>
      </c>
      <c r="K6" s="10" t="str">
        <f t="shared" si="4"/>
        <v>m</v>
      </c>
      <c r="L6" s="10" t="str">
        <f t="shared" si="4"/>
        <v>j</v>
      </c>
      <c r="M6" s="10" t="str">
        <f t="shared" si="4"/>
        <v>v</v>
      </c>
      <c r="N6" s="10" t="str">
        <f t="shared" si="4"/>
        <v>s</v>
      </c>
      <c r="O6" s="10" t="str">
        <f t="shared" si="4"/>
        <v>d</v>
      </c>
      <c r="P6" s="10" t="str">
        <f t="shared" si="4"/>
        <v>l</v>
      </c>
      <c r="Q6" s="10" t="str">
        <f t="shared" si="4"/>
        <v>m</v>
      </c>
      <c r="R6" s="10" t="str">
        <f t="shared" si="4"/>
        <v>m</v>
      </c>
      <c r="S6" s="10" t="str">
        <f t="shared" si="4"/>
        <v>j</v>
      </c>
      <c r="T6" s="10" t="str">
        <f t="shared" si="4"/>
        <v>v</v>
      </c>
      <c r="U6" s="10" t="str">
        <f t="shared" si="4"/>
        <v>s</v>
      </c>
      <c r="V6" s="10" t="str">
        <f t="shared" si="4"/>
        <v>d</v>
      </c>
      <c r="W6" s="10" t="str">
        <f t="shared" si="4"/>
        <v>l</v>
      </c>
      <c r="X6" s="10" t="str">
        <f t="shared" si="4"/>
        <v>m</v>
      </c>
      <c r="Y6" s="10" t="str">
        <f t="shared" si="4"/>
        <v>m</v>
      </c>
      <c r="Z6" s="10" t="str">
        <f t="shared" si="4"/>
        <v>j</v>
      </c>
      <c r="AA6" s="10" t="str">
        <f t="shared" si="4"/>
        <v>v</v>
      </c>
      <c r="AB6" s="10" t="str">
        <f t="shared" si="4"/>
        <v>s</v>
      </c>
      <c r="AC6" s="10" t="str">
        <f t="shared" si="4"/>
        <v>d</v>
      </c>
      <c r="AD6" s="10" t="str">
        <f t="shared" si="4"/>
        <v>l</v>
      </c>
      <c r="AE6" s="10" t="str">
        <f t="shared" si="4"/>
        <v>m</v>
      </c>
      <c r="AF6" s="10" t="str">
        <f t="shared" si="4"/>
        <v>m</v>
      </c>
      <c r="AG6" s="10" t="str">
        <f t="shared" si="4"/>
        <v>j</v>
      </c>
      <c r="AH6" s="10" t="str">
        <f t="shared" si="4"/>
        <v>v</v>
      </c>
      <c r="AI6" s="10" t="str">
        <f t="shared" si="4"/>
        <v>s</v>
      </c>
      <c r="AJ6" s="10" t="str">
        <f t="shared" si="4"/>
        <v>d</v>
      </c>
      <c r="AK6" s="10" t="str">
        <f t="shared" si="4"/>
        <v>l</v>
      </c>
      <c r="AL6" s="10" t="str">
        <f t="shared" si="4"/>
        <v>m</v>
      </c>
      <c r="AM6" s="10" t="str">
        <f t="shared" si="4"/>
        <v>m</v>
      </c>
      <c r="AN6" s="10" t="str">
        <f t="shared" si="4"/>
        <v>j</v>
      </c>
      <c r="AO6" s="10" t="str">
        <f t="shared" si="4"/>
        <v>v</v>
      </c>
      <c r="AP6" s="10" t="str">
        <f t="shared" si="4"/>
        <v>s</v>
      </c>
      <c r="AQ6" s="10" t="str">
        <f t="shared" si="4"/>
        <v>d</v>
      </c>
      <c r="AR6" s="10" t="str">
        <f t="shared" si="4"/>
        <v>l</v>
      </c>
      <c r="AS6" s="10" t="str">
        <f t="shared" ref="AS6:BL6" si="5">LEFT(TEXT(AS5,"ddd"),1)</f>
        <v>m</v>
      </c>
      <c r="AT6" s="10" t="str">
        <f t="shared" si="5"/>
        <v>m</v>
      </c>
      <c r="AU6" s="10" t="str">
        <f t="shared" si="5"/>
        <v>j</v>
      </c>
      <c r="AV6" s="10" t="str">
        <f t="shared" si="5"/>
        <v>v</v>
      </c>
      <c r="AW6" s="10" t="str">
        <f t="shared" si="5"/>
        <v>s</v>
      </c>
      <c r="AX6" s="10" t="str">
        <f t="shared" si="5"/>
        <v>d</v>
      </c>
      <c r="AY6" s="10" t="str">
        <f t="shared" si="5"/>
        <v>l</v>
      </c>
      <c r="AZ6" s="10" t="str">
        <f t="shared" si="5"/>
        <v>m</v>
      </c>
      <c r="BA6" s="10" t="str">
        <f t="shared" si="5"/>
        <v>m</v>
      </c>
      <c r="BB6" s="10" t="str">
        <f t="shared" si="5"/>
        <v>j</v>
      </c>
      <c r="BC6" s="10" t="str">
        <f t="shared" si="5"/>
        <v>v</v>
      </c>
      <c r="BD6" s="10" t="str">
        <f t="shared" si="5"/>
        <v>s</v>
      </c>
      <c r="BE6" s="10" t="str">
        <f t="shared" si="5"/>
        <v>d</v>
      </c>
      <c r="BF6" s="10" t="str">
        <f t="shared" si="5"/>
        <v>l</v>
      </c>
      <c r="BG6" s="10" t="str">
        <f t="shared" si="5"/>
        <v>m</v>
      </c>
      <c r="BH6" s="10" t="str">
        <f t="shared" si="5"/>
        <v>m</v>
      </c>
      <c r="BI6" s="10" t="str">
        <f t="shared" si="5"/>
        <v>j</v>
      </c>
      <c r="BJ6" s="10" t="str">
        <f t="shared" si="5"/>
        <v>v</v>
      </c>
      <c r="BK6" s="10" t="str">
        <f t="shared" si="5"/>
        <v>s</v>
      </c>
      <c r="BL6" s="10" t="str">
        <f t="shared" si="5"/>
        <v>d</v>
      </c>
    </row>
    <row r="7" spans="1:64" ht="30" hidden="1" customHeight="1" thickBot="1" x14ac:dyDescent="0.3">
      <c r="A7" s="30" t="s">
        <v>16</v>
      </c>
      <c r="C7" s="33"/>
      <c r="E7"/>
      <c r="H7" t="str">
        <f>IF(OR(ISBLANK(task_start),ISBLANK(task_end)),"",task_end-task_start+1)</f>
        <v/>
      </c>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row>
    <row r="8" spans="1:64" s="3" customFormat="1" ht="30" customHeight="1" thickBot="1" x14ac:dyDescent="0.3">
      <c r="A8" s="31" t="s">
        <v>17</v>
      </c>
      <c r="B8" s="15" t="s">
        <v>18</v>
      </c>
      <c r="C8" s="36"/>
      <c r="D8" s="16"/>
      <c r="E8" s="53"/>
      <c r="F8" s="54"/>
      <c r="G8" s="14"/>
      <c r="H8" s="14" t="str">
        <f t="shared" ref="H8:H60" si="6">IF(OR(ISBLANK(task_start),ISBLANK(task_end)),"",task_end-task_start+1)</f>
        <v/>
      </c>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row>
    <row r="9" spans="1:64" s="3" customFormat="1" ht="30" customHeight="1" thickBot="1" x14ac:dyDescent="0.3">
      <c r="A9" s="31" t="s">
        <v>19</v>
      </c>
      <c r="B9" s="45" t="s">
        <v>20</v>
      </c>
      <c r="C9" s="37" t="s">
        <v>21</v>
      </c>
      <c r="D9" s="17">
        <v>1</v>
      </c>
      <c r="E9" s="55">
        <f>Inicio_del_proyecto</f>
        <v>46086</v>
      </c>
      <c r="F9" s="55">
        <f>E9+2</f>
        <v>46088</v>
      </c>
      <c r="G9" s="14"/>
      <c r="H9" s="14">
        <f t="shared" si="6"/>
        <v>3</v>
      </c>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row>
    <row r="10" spans="1:64" s="3" customFormat="1" ht="30" customHeight="1" x14ac:dyDescent="0.25">
      <c r="A10" s="31" t="s">
        <v>22</v>
      </c>
      <c r="B10" s="45"/>
      <c r="C10" s="37"/>
      <c r="D10" s="17"/>
      <c r="E10" s="55"/>
      <c r="F10" s="55"/>
      <c r="G10" s="14"/>
      <c r="H10" s="14" t="str">
        <f t="shared" si="6"/>
        <v/>
      </c>
      <c r="I10" s="27"/>
      <c r="J10" s="27"/>
      <c r="K10" s="27"/>
      <c r="L10" s="27"/>
      <c r="M10" s="27"/>
      <c r="N10" s="27"/>
      <c r="O10" s="27"/>
      <c r="P10" s="27"/>
      <c r="Q10" s="27"/>
      <c r="R10" s="27"/>
      <c r="S10" s="27"/>
      <c r="T10" s="27"/>
      <c r="U10" s="28"/>
      <c r="V10" s="28"/>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row>
    <row r="11" spans="1:64" s="3" customFormat="1" ht="30" customHeight="1" x14ac:dyDescent="0.25">
      <c r="A11" s="30"/>
      <c r="B11" s="45"/>
      <c r="C11" s="37"/>
      <c r="D11" s="17"/>
      <c r="E11" s="55"/>
      <c r="F11" s="55"/>
      <c r="G11" s="14"/>
      <c r="H11" s="14" t="str">
        <f t="shared" si="6"/>
        <v/>
      </c>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row>
    <row r="12" spans="1:64" s="3" customFormat="1" ht="30" customHeight="1" x14ac:dyDescent="0.25">
      <c r="A12" s="30"/>
      <c r="B12" s="45"/>
      <c r="C12" s="37"/>
      <c r="D12" s="17"/>
      <c r="E12" s="55"/>
      <c r="F12" s="55"/>
      <c r="G12" s="14"/>
      <c r="H12" s="14" t="str">
        <f t="shared" si="6"/>
        <v/>
      </c>
      <c r="I12" s="27"/>
      <c r="J12" s="27"/>
      <c r="K12" s="27"/>
      <c r="L12" s="27"/>
      <c r="M12" s="27"/>
      <c r="N12" s="27"/>
      <c r="O12" s="27"/>
      <c r="P12" s="27"/>
      <c r="Q12" s="27"/>
      <c r="R12" s="27"/>
      <c r="S12" s="27"/>
      <c r="T12" s="27"/>
      <c r="U12" s="27"/>
      <c r="V12" s="27"/>
      <c r="W12" s="27"/>
      <c r="X12" s="27"/>
      <c r="Y12" s="28"/>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row>
    <row r="13" spans="1:64" s="3" customFormat="1" ht="30" customHeight="1" x14ac:dyDescent="0.25">
      <c r="A13" s="30"/>
      <c r="B13" s="45"/>
      <c r="C13" s="37"/>
      <c r="D13" s="17"/>
      <c r="E13" s="55"/>
      <c r="F13" s="55"/>
      <c r="G13" s="14"/>
      <c r="H13" s="14" t="str">
        <f t="shared" si="6"/>
        <v/>
      </c>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row>
    <row r="14" spans="1:64" s="3" customFormat="1" ht="30" customHeight="1" x14ac:dyDescent="0.25">
      <c r="A14" s="31" t="s">
        <v>23</v>
      </c>
      <c r="B14" s="18" t="s">
        <v>24</v>
      </c>
      <c r="C14" s="38"/>
      <c r="D14" s="19"/>
      <c r="E14" s="56"/>
      <c r="F14" s="57"/>
      <c r="G14" s="14"/>
      <c r="H14" s="14" t="str">
        <f t="shared" si="6"/>
        <v/>
      </c>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row>
    <row r="15" spans="1:64" s="3" customFormat="1" ht="30" customHeight="1" thickBot="1" x14ac:dyDescent="0.3">
      <c r="A15" s="31"/>
      <c r="B15" s="46" t="s">
        <v>25</v>
      </c>
      <c r="C15" s="39" t="s">
        <v>26</v>
      </c>
      <c r="D15" s="20">
        <v>1</v>
      </c>
      <c r="E15" s="58">
        <v>46092</v>
      </c>
      <c r="F15" s="58">
        <v>46093</v>
      </c>
      <c r="G15" s="14"/>
      <c r="H15" s="14">
        <f t="shared" si="6"/>
        <v>2</v>
      </c>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row>
    <row r="16" spans="1:64" s="3" customFormat="1" ht="30" customHeight="1" thickBot="1" x14ac:dyDescent="0.3">
      <c r="A16" s="30"/>
      <c r="B16" s="46" t="s">
        <v>27</v>
      </c>
      <c r="C16" s="39" t="s">
        <v>26</v>
      </c>
      <c r="D16" s="20">
        <v>1</v>
      </c>
      <c r="E16" s="58">
        <v>46093</v>
      </c>
      <c r="F16" s="58">
        <v>46094</v>
      </c>
      <c r="G16" s="14"/>
      <c r="H16" s="14">
        <f t="shared" si="6"/>
        <v>2</v>
      </c>
      <c r="I16" s="27"/>
      <c r="J16" s="27"/>
      <c r="K16" s="27"/>
      <c r="L16" s="27"/>
      <c r="M16" s="27"/>
      <c r="N16" s="27"/>
      <c r="O16" s="27"/>
      <c r="P16" s="27"/>
      <c r="Q16" s="27"/>
      <c r="R16" s="27"/>
      <c r="S16" s="27"/>
      <c r="T16" s="27"/>
      <c r="U16" s="28"/>
      <c r="V16" s="28"/>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row>
    <row r="17" spans="1:64" s="3" customFormat="1" ht="30" customHeight="1" thickBot="1" x14ac:dyDescent="0.3">
      <c r="A17" s="30"/>
      <c r="B17" s="46" t="s">
        <v>28</v>
      </c>
      <c r="C17" s="39" t="s">
        <v>29</v>
      </c>
      <c r="D17" s="20">
        <v>1</v>
      </c>
      <c r="E17" s="58">
        <v>46094</v>
      </c>
      <c r="F17" s="58">
        <v>46095</v>
      </c>
      <c r="G17" s="14"/>
      <c r="H17" s="14">
        <f t="shared" si="6"/>
        <v>2</v>
      </c>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row>
    <row r="18" spans="1:64" s="3" customFormat="1" ht="30" customHeight="1" thickBot="1" x14ac:dyDescent="0.3">
      <c r="A18" s="30"/>
      <c r="B18" s="46" t="s">
        <v>30</v>
      </c>
      <c r="C18" s="39" t="s">
        <v>29</v>
      </c>
      <c r="D18" s="20">
        <v>1</v>
      </c>
      <c r="E18" s="58">
        <v>46095</v>
      </c>
      <c r="F18" s="58">
        <v>46096</v>
      </c>
      <c r="G18" s="14"/>
      <c r="H18" s="14">
        <f t="shared" si="6"/>
        <v>2</v>
      </c>
      <c r="I18" s="27"/>
      <c r="J18" s="27"/>
      <c r="K18" s="27"/>
      <c r="L18" s="27"/>
      <c r="M18" s="27"/>
      <c r="N18" s="27"/>
      <c r="O18" s="27"/>
      <c r="P18" s="27"/>
      <c r="Q18" s="27"/>
      <c r="R18" s="27"/>
      <c r="S18" s="27"/>
      <c r="T18" s="27"/>
      <c r="U18" s="27"/>
      <c r="V18" s="27"/>
      <c r="W18" s="27"/>
      <c r="X18" s="27"/>
      <c r="Y18" s="28"/>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row>
    <row r="19" spans="1:64" s="3" customFormat="1" ht="30" customHeight="1" thickBot="1" x14ac:dyDescent="0.3">
      <c r="A19" s="30"/>
      <c r="B19" s="46" t="s">
        <v>31</v>
      </c>
      <c r="C19" s="39" t="s">
        <v>26</v>
      </c>
      <c r="D19" s="20">
        <v>1</v>
      </c>
      <c r="E19" s="58">
        <v>46094</v>
      </c>
      <c r="F19" s="58">
        <v>46096</v>
      </c>
      <c r="G19" s="14"/>
      <c r="H19" s="14">
        <f t="shared" si="6"/>
        <v>3</v>
      </c>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row>
    <row r="20" spans="1:64" s="3" customFormat="1" ht="30" customHeight="1" thickBot="1" x14ac:dyDescent="0.3">
      <c r="A20" s="30" t="s">
        <v>32</v>
      </c>
      <c r="B20" s="21" t="s">
        <v>33</v>
      </c>
      <c r="C20" s="40"/>
      <c r="D20" s="22"/>
      <c r="E20" s="59"/>
      <c r="F20" s="60"/>
      <c r="G20" s="14"/>
      <c r="H20" s="14" t="str">
        <f t="shared" si="6"/>
        <v/>
      </c>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row>
    <row r="21" spans="1:64" s="3" customFormat="1" ht="30" customHeight="1" thickBot="1" x14ac:dyDescent="0.3">
      <c r="A21" s="30"/>
      <c r="B21" s="47" t="s">
        <v>34</v>
      </c>
      <c r="C21" s="41" t="s">
        <v>26</v>
      </c>
      <c r="D21" s="23">
        <v>1</v>
      </c>
      <c r="E21" s="61">
        <v>46099</v>
      </c>
      <c r="F21" s="61">
        <v>46100</v>
      </c>
      <c r="G21" s="14"/>
      <c r="H21" s="14">
        <f t="shared" si="6"/>
        <v>2</v>
      </c>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row>
    <row r="22" spans="1:64" s="3" customFormat="1" ht="30" customHeight="1" thickBot="1" x14ac:dyDescent="0.3">
      <c r="A22" s="30"/>
      <c r="B22" s="47" t="s">
        <v>35</v>
      </c>
      <c r="C22" s="41" t="s">
        <v>26</v>
      </c>
      <c r="D22" s="23">
        <v>1</v>
      </c>
      <c r="E22" s="61">
        <v>46099</v>
      </c>
      <c r="F22" s="61">
        <v>46101</v>
      </c>
      <c r="G22" s="14"/>
      <c r="H22" s="14">
        <f t="shared" si="6"/>
        <v>3</v>
      </c>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row>
    <row r="23" spans="1:64" s="3" customFormat="1" ht="30" customHeight="1" thickBot="1" x14ac:dyDescent="0.3">
      <c r="A23" s="30"/>
      <c r="B23" s="47" t="s">
        <v>36</v>
      </c>
      <c r="C23" s="41" t="s">
        <v>26</v>
      </c>
      <c r="D23" s="23">
        <v>1</v>
      </c>
      <c r="E23" s="61">
        <v>46100</v>
      </c>
      <c r="F23" s="61">
        <v>46102</v>
      </c>
      <c r="G23" s="14"/>
      <c r="H23" s="14">
        <f t="shared" si="6"/>
        <v>3</v>
      </c>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row>
    <row r="24" spans="1:64" s="3" customFormat="1" ht="30" customHeight="1" thickBot="1" x14ac:dyDescent="0.3">
      <c r="A24" s="30"/>
      <c r="B24" s="47" t="s">
        <v>37</v>
      </c>
      <c r="C24" s="41" t="s">
        <v>26</v>
      </c>
      <c r="D24" s="23">
        <v>1</v>
      </c>
      <c r="E24" s="61">
        <v>46101</v>
      </c>
      <c r="F24" s="61">
        <v>46103</v>
      </c>
      <c r="G24" s="14"/>
      <c r="H24" s="14">
        <f t="shared" si="6"/>
        <v>3</v>
      </c>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row>
    <row r="25" spans="1:64" s="3" customFormat="1" ht="30" customHeight="1" thickBot="1" x14ac:dyDescent="0.3">
      <c r="A25" s="30"/>
      <c r="B25" s="47" t="s">
        <v>38</v>
      </c>
      <c r="C25" s="41" t="s">
        <v>26</v>
      </c>
      <c r="D25" s="23">
        <v>1</v>
      </c>
      <c r="E25" s="61">
        <v>46101</v>
      </c>
      <c r="F25" s="61">
        <v>46103</v>
      </c>
      <c r="G25" s="14"/>
      <c r="H25" s="14">
        <f t="shared" si="6"/>
        <v>3</v>
      </c>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row>
    <row r="26" spans="1:64" s="3" customFormat="1" ht="30" customHeight="1" x14ac:dyDescent="0.25">
      <c r="A26" s="30" t="s">
        <v>32</v>
      </c>
      <c r="B26" s="24" t="s">
        <v>39</v>
      </c>
      <c r="C26" s="42"/>
      <c r="D26" s="25"/>
      <c r="E26" s="62"/>
      <c r="F26" s="63"/>
      <c r="G26" s="14"/>
      <c r="H26" s="14" t="str">
        <f t="shared" si="6"/>
        <v/>
      </c>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row>
    <row r="27" spans="1:64" s="3" customFormat="1" ht="30" customHeight="1" x14ac:dyDescent="0.25">
      <c r="A27" s="30"/>
      <c r="B27" s="48" t="s">
        <v>40</v>
      </c>
      <c r="C27" s="43" t="s">
        <v>29</v>
      </c>
      <c r="D27" s="23">
        <v>1</v>
      </c>
      <c r="E27" s="64">
        <v>46099</v>
      </c>
      <c r="F27" s="64">
        <v>46100</v>
      </c>
      <c r="G27" s="14"/>
      <c r="H27" s="14">
        <f t="shared" si="6"/>
        <v>2</v>
      </c>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row>
    <row r="28" spans="1:64" s="3" customFormat="1" ht="30" customHeight="1" x14ac:dyDescent="0.25">
      <c r="A28" s="30"/>
      <c r="B28" s="48" t="s">
        <v>41</v>
      </c>
      <c r="C28" s="43" t="s">
        <v>29</v>
      </c>
      <c r="D28" s="23">
        <v>1</v>
      </c>
      <c r="E28" s="64">
        <v>46099</v>
      </c>
      <c r="F28" s="64">
        <v>46101</v>
      </c>
      <c r="G28" s="14"/>
      <c r="H28" s="14">
        <f t="shared" si="6"/>
        <v>3</v>
      </c>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row>
    <row r="29" spans="1:64" s="3" customFormat="1" ht="30" customHeight="1" x14ac:dyDescent="0.25">
      <c r="A29" s="30"/>
      <c r="B29" s="48" t="s">
        <v>42</v>
      </c>
      <c r="C29" s="43" t="s">
        <v>29</v>
      </c>
      <c r="D29" s="23">
        <v>1</v>
      </c>
      <c r="E29" s="64">
        <v>46100</v>
      </c>
      <c r="F29" s="64">
        <v>46101</v>
      </c>
      <c r="G29" s="14"/>
      <c r="H29" s="14">
        <f t="shared" si="6"/>
        <v>2</v>
      </c>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row>
    <row r="30" spans="1:64" s="3" customFormat="1" ht="30" customHeight="1" thickBot="1" x14ac:dyDescent="0.3">
      <c r="A30" s="30"/>
      <c r="B30" s="48" t="s">
        <v>43</v>
      </c>
      <c r="C30" s="43" t="s">
        <v>29</v>
      </c>
      <c r="D30" s="23">
        <v>1</v>
      </c>
      <c r="E30" s="64">
        <v>46101</v>
      </c>
      <c r="F30" s="64">
        <v>46103</v>
      </c>
      <c r="G30" s="14"/>
      <c r="H30" s="14">
        <f t="shared" si="6"/>
        <v>3</v>
      </c>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row>
    <row r="31" spans="1:64" s="3" customFormat="1" ht="30" customHeight="1" x14ac:dyDescent="0.25">
      <c r="A31" s="30"/>
      <c r="B31" s="48" t="s">
        <v>44</v>
      </c>
      <c r="C31" s="43" t="s">
        <v>29</v>
      </c>
      <c r="D31" s="23">
        <v>1</v>
      </c>
      <c r="E31" s="64">
        <v>46101</v>
      </c>
      <c r="F31" s="64">
        <v>46103</v>
      </c>
      <c r="G31" s="14"/>
      <c r="H31" s="14">
        <f t="shared" si="6"/>
        <v>3</v>
      </c>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row>
    <row r="32" spans="1:64" s="3" customFormat="1" ht="30" customHeight="1" x14ac:dyDescent="0.25">
      <c r="A32" s="30"/>
      <c r="B32" s="15" t="s">
        <v>45</v>
      </c>
      <c r="C32" s="36"/>
      <c r="D32" s="16"/>
      <c r="E32" s="53"/>
      <c r="F32" s="54"/>
      <c r="G32" s="14"/>
      <c r="H32" s="14"/>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row>
    <row r="33" spans="1:64" s="3" customFormat="1" ht="30" customHeight="1" x14ac:dyDescent="0.25">
      <c r="A33" s="30"/>
      <c r="B33" s="45" t="s">
        <v>46</v>
      </c>
      <c r="C33" s="37" t="s">
        <v>29</v>
      </c>
      <c r="D33" s="17">
        <v>1</v>
      </c>
      <c r="E33" s="55">
        <v>46099</v>
      </c>
      <c r="F33" s="55">
        <v>46100</v>
      </c>
      <c r="G33" s="14"/>
      <c r="H33" s="14"/>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row>
    <row r="34" spans="1:64" s="3" customFormat="1" ht="30" customHeight="1" x14ac:dyDescent="0.25">
      <c r="A34" s="30"/>
      <c r="B34" s="45" t="s">
        <v>47</v>
      </c>
      <c r="C34" s="37" t="s">
        <v>29</v>
      </c>
      <c r="D34" s="17">
        <v>1</v>
      </c>
      <c r="E34" s="55">
        <v>46100</v>
      </c>
      <c r="F34" s="55">
        <v>46101</v>
      </c>
      <c r="G34" s="14"/>
      <c r="H34" s="14"/>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row>
    <row r="35" spans="1:64" s="3" customFormat="1" ht="30" customHeight="1" x14ac:dyDescent="0.25">
      <c r="A35" s="30"/>
      <c r="B35" s="45" t="s">
        <v>48</v>
      </c>
      <c r="C35" s="37" t="s">
        <v>26</v>
      </c>
      <c r="D35" s="17">
        <v>1</v>
      </c>
      <c r="E35" s="55">
        <v>46101</v>
      </c>
      <c r="F35" s="55">
        <v>46103</v>
      </c>
      <c r="G35" s="14"/>
      <c r="H35" s="14"/>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row>
    <row r="36" spans="1:64" s="3" customFormat="1" ht="30" customHeight="1" x14ac:dyDescent="0.25">
      <c r="A36" s="30"/>
      <c r="B36" s="45"/>
      <c r="C36" s="37"/>
      <c r="D36" s="17"/>
      <c r="E36" s="55"/>
      <c r="F36" s="55"/>
      <c r="G36" s="14"/>
      <c r="H36" s="14"/>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row>
    <row r="37" spans="1:64" s="3" customFormat="1" ht="30" customHeight="1" x14ac:dyDescent="0.25">
      <c r="A37" s="30"/>
      <c r="B37" s="45"/>
      <c r="C37" s="37"/>
      <c r="D37" s="17"/>
      <c r="E37" s="55"/>
      <c r="F37" s="55"/>
      <c r="G37" s="14"/>
      <c r="H37" s="14"/>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row>
    <row r="38" spans="1:64" s="3" customFormat="1" ht="30" customHeight="1" x14ac:dyDescent="0.25">
      <c r="A38" s="30"/>
      <c r="B38" s="18" t="s">
        <v>49</v>
      </c>
      <c r="C38" s="38"/>
      <c r="D38" s="19"/>
      <c r="E38" s="56"/>
      <c r="F38" s="57"/>
      <c r="G38" s="14"/>
      <c r="H38" s="14"/>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row>
    <row r="39" spans="1:64" s="3" customFormat="1" ht="30" customHeight="1" x14ac:dyDescent="0.25">
      <c r="A39" s="30"/>
      <c r="B39" s="70" t="s">
        <v>50</v>
      </c>
      <c r="C39" s="39" t="s">
        <v>26</v>
      </c>
      <c r="D39" s="20">
        <v>1</v>
      </c>
      <c r="E39" s="58">
        <v>46106</v>
      </c>
      <c r="F39" s="58">
        <v>46107</v>
      </c>
      <c r="G39" s="14"/>
      <c r="H39" s="14"/>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row>
    <row r="40" spans="1:64" s="3" customFormat="1" ht="30" customHeight="1" x14ac:dyDescent="0.25">
      <c r="A40" s="30"/>
      <c r="B40" s="46" t="s">
        <v>51</v>
      </c>
      <c r="C40" s="39" t="s">
        <v>26</v>
      </c>
      <c r="D40" s="20">
        <v>1</v>
      </c>
      <c r="E40" s="58">
        <v>46106</v>
      </c>
      <c r="F40" s="58">
        <v>46107</v>
      </c>
      <c r="G40" s="14"/>
      <c r="H40" s="14"/>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row>
    <row r="41" spans="1:64" s="3" customFormat="1" ht="30" customHeight="1" x14ac:dyDescent="0.25">
      <c r="A41" s="30"/>
      <c r="B41" s="46" t="s">
        <v>52</v>
      </c>
      <c r="C41" s="39" t="s">
        <v>26</v>
      </c>
      <c r="D41" s="20">
        <v>1</v>
      </c>
      <c r="E41" s="58">
        <v>46107</v>
      </c>
      <c r="F41" s="58">
        <v>46108</v>
      </c>
      <c r="G41" s="14"/>
      <c r="H41" s="14"/>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row>
    <row r="42" spans="1:64" s="3" customFormat="1" ht="30" customHeight="1" x14ac:dyDescent="0.25">
      <c r="A42" s="30"/>
      <c r="B42" s="46" t="s">
        <v>53</v>
      </c>
      <c r="C42" s="39" t="s">
        <v>26</v>
      </c>
      <c r="D42" s="20">
        <v>1</v>
      </c>
      <c r="E42" s="58">
        <v>46108</v>
      </c>
      <c r="F42" s="58">
        <v>46108</v>
      </c>
      <c r="G42" s="14"/>
      <c r="H42" s="14"/>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row>
    <row r="43" spans="1:64" s="3" customFormat="1" ht="30" customHeight="1" x14ac:dyDescent="0.25">
      <c r="A43" s="30"/>
      <c r="B43" s="46"/>
      <c r="C43" s="39"/>
      <c r="D43" s="20"/>
      <c r="E43" s="58"/>
      <c r="F43" s="58"/>
      <c r="G43" s="14"/>
      <c r="H43" s="14"/>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row>
    <row r="44" spans="1:64" s="3" customFormat="1" ht="30" customHeight="1" x14ac:dyDescent="0.25">
      <c r="A44" s="30"/>
      <c r="B44" s="21" t="s">
        <v>54</v>
      </c>
      <c r="C44" s="40"/>
      <c r="D44" s="22"/>
      <c r="E44" s="59"/>
      <c r="F44" s="60"/>
      <c r="G44" s="14"/>
      <c r="H44" s="14"/>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row>
    <row r="45" spans="1:64" s="3" customFormat="1" ht="30" customHeight="1" x14ac:dyDescent="0.25">
      <c r="A45" s="30"/>
      <c r="B45" s="47" t="s">
        <v>55</v>
      </c>
      <c r="C45" s="41" t="s">
        <v>26</v>
      </c>
      <c r="D45" s="20">
        <v>1</v>
      </c>
      <c r="E45" s="61">
        <v>46109</v>
      </c>
      <c r="F45" s="61">
        <v>46109</v>
      </c>
      <c r="G45" s="14"/>
      <c r="H45" s="14"/>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row>
    <row r="46" spans="1:64" s="3" customFormat="1" ht="30" customHeight="1" x14ac:dyDescent="0.25">
      <c r="A46" s="30"/>
      <c r="B46" s="47" t="s">
        <v>56</v>
      </c>
      <c r="C46" s="41" t="s">
        <v>26</v>
      </c>
      <c r="D46" s="20">
        <v>1</v>
      </c>
      <c r="E46" s="61">
        <v>46109</v>
      </c>
      <c r="F46" s="61">
        <v>46109</v>
      </c>
      <c r="G46" s="14"/>
      <c r="H46" s="14"/>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row>
    <row r="47" spans="1:64" s="3" customFormat="1" ht="30" customHeight="1" x14ac:dyDescent="0.25">
      <c r="A47" s="30"/>
      <c r="B47" s="47" t="s">
        <v>57</v>
      </c>
      <c r="C47" s="41" t="s">
        <v>26</v>
      </c>
      <c r="D47" s="20">
        <v>1</v>
      </c>
      <c r="E47" s="61">
        <v>46109</v>
      </c>
      <c r="F47" s="61">
        <v>46109</v>
      </c>
      <c r="G47" s="14"/>
      <c r="H47" s="14"/>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row>
    <row r="48" spans="1:64" s="3" customFormat="1" ht="30" customHeight="1" x14ac:dyDescent="0.25">
      <c r="A48" s="30"/>
      <c r="B48" s="47"/>
      <c r="C48" s="41"/>
      <c r="D48" s="23"/>
      <c r="E48" s="61"/>
      <c r="F48" s="61"/>
      <c r="G48" s="14"/>
      <c r="H48" s="14"/>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row>
    <row r="49" spans="1:64" s="3" customFormat="1" ht="30" customHeight="1" x14ac:dyDescent="0.25">
      <c r="A49" s="30"/>
      <c r="B49" s="47"/>
      <c r="C49" s="41"/>
      <c r="D49" s="23"/>
      <c r="E49" s="61"/>
      <c r="F49" s="61"/>
      <c r="G49" s="14"/>
      <c r="H49" s="14"/>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row>
    <row r="50" spans="1:64" s="3" customFormat="1" ht="30" customHeight="1" x14ac:dyDescent="0.25">
      <c r="A50" s="30"/>
      <c r="B50" s="24" t="s">
        <v>58</v>
      </c>
      <c r="C50" s="42"/>
      <c r="D50" s="25"/>
      <c r="E50" s="62"/>
      <c r="F50" s="63"/>
      <c r="G50" s="14"/>
      <c r="H50" s="14"/>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row>
    <row r="51" spans="1:64" s="3" customFormat="1" ht="30" customHeight="1" x14ac:dyDescent="0.25">
      <c r="A51" s="30"/>
      <c r="B51" s="48" t="s">
        <v>59</v>
      </c>
      <c r="C51" s="43" t="s">
        <v>29</v>
      </c>
      <c r="D51" s="20">
        <v>1</v>
      </c>
      <c r="E51" s="64">
        <v>46092</v>
      </c>
      <c r="F51" s="64">
        <v>46109</v>
      </c>
      <c r="G51" s="14"/>
      <c r="H51" s="14"/>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row>
    <row r="52" spans="1:64" s="3" customFormat="1" ht="30" customHeight="1" x14ac:dyDescent="0.25">
      <c r="A52" s="30"/>
      <c r="B52" s="48" t="s">
        <v>60</v>
      </c>
      <c r="C52" s="43" t="s">
        <v>29</v>
      </c>
      <c r="D52" s="20">
        <v>1</v>
      </c>
      <c r="E52" s="64">
        <v>46092</v>
      </c>
      <c r="F52" s="64">
        <v>46109</v>
      </c>
      <c r="G52" s="14"/>
      <c r="H52" s="14"/>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row>
    <row r="53" spans="1:64" s="3" customFormat="1" ht="30" customHeight="1" x14ac:dyDescent="0.25">
      <c r="A53" s="30"/>
      <c r="B53" s="48" t="s">
        <v>61</v>
      </c>
      <c r="C53" s="43" t="s">
        <v>29</v>
      </c>
      <c r="D53" s="20">
        <v>1</v>
      </c>
      <c r="E53" s="64">
        <v>46092</v>
      </c>
      <c r="F53" s="64">
        <v>46109</v>
      </c>
      <c r="G53" s="14"/>
      <c r="H53" s="14"/>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row>
    <row r="54" spans="1:64" s="3" customFormat="1" ht="30" customHeight="1" x14ac:dyDescent="0.25">
      <c r="A54" s="30"/>
      <c r="B54" s="48"/>
      <c r="C54" s="43"/>
      <c r="D54" s="26"/>
      <c r="E54" s="71"/>
      <c r="F54" s="64"/>
      <c r="G54" s="14"/>
      <c r="H54" s="14"/>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row>
    <row r="55" spans="1:64" s="3" customFormat="1" ht="30" customHeight="1" x14ac:dyDescent="0.25">
      <c r="A55" s="30"/>
      <c r="B55" s="48"/>
      <c r="C55" s="43"/>
      <c r="D55" s="26"/>
      <c r="E55" s="64"/>
      <c r="F55" s="64"/>
      <c r="G55" s="14"/>
      <c r="H55" s="14"/>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row>
    <row r="56" spans="1:64" s="3" customFormat="1" ht="30" customHeight="1" x14ac:dyDescent="0.25">
      <c r="A56" s="30"/>
      <c r="B56" s="15" t="s">
        <v>18</v>
      </c>
      <c r="C56" s="36"/>
      <c r="D56" s="16"/>
      <c r="E56" s="53"/>
      <c r="F56" s="54"/>
      <c r="G56" s="14"/>
      <c r="H56" s="14"/>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row>
    <row r="57" spans="1:64" s="3" customFormat="1" ht="30" customHeight="1" x14ac:dyDescent="0.25">
      <c r="A57" s="30"/>
      <c r="B57" s="45" t="s">
        <v>62</v>
      </c>
      <c r="C57" s="37" t="s">
        <v>26</v>
      </c>
      <c r="D57" s="17">
        <v>1</v>
      </c>
      <c r="E57" s="55">
        <v>46110</v>
      </c>
      <c r="F57" s="55">
        <v>46110</v>
      </c>
      <c r="G57" s="14"/>
      <c r="H57" s="14"/>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row>
    <row r="58" spans="1:64" s="3" customFormat="1" ht="30" customHeight="1" x14ac:dyDescent="0.25">
      <c r="A58" s="30"/>
      <c r="B58" s="45" t="s">
        <v>63</v>
      </c>
      <c r="C58" s="37" t="s">
        <v>26</v>
      </c>
      <c r="D58" s="17">
        <v>1</v>
      </c>
      <c r="E58" s="55">
        <v>46110</v>
      </c>
      <c r="F58" s="55">
        <v>46110</v>
      </c>
      <c r="G58" s="14"/>
      <c r="H58" s="14"/>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row>
    <row r="59" spans="1:64" s="3" customFormat="1" ht="30" customHeight="1" x14ac:dyDescent="0.25">
      <c r="A59" s="30"/>
      <c r="B59" s="45" t="s">
        <v>64</v>
      </c>
      <c r="C59" s="37" t="s">
        <v>29</v>
      </c>
      <c r="D59" s="17">
        <v>1</v>
      </c>
      <c r="E59" s="55">
        <v>46110</v>
      </c>
      <c r="F59" s="55">
        <v>46110</v>
      </c>
      <c r="G59" s="14"/>
      <c r="H59" s="14"/>
      <c r="I59" s="27"/>
      <c r="J59" s="27"/>
      <c r="K59" s="27"/>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row>
    <row r="60" spans="1:64" s="3" customFormat="1" ht="30" customHeight="1" thickBot="1" x14ac:dyDescent="0.3">
      <c r="A60" s="30" t="s">
        <v>65</v>
      </c>
      <c r="B60" s="49"/>
      <c r="C60" s="44"/>
      <c r="D60" s="13"/>
      <c r="E60" s="72"/>
      <c r="F60" s="65"/>
      <c r="G60" s="14"/>
      <c r="H60" s="14" t="str">
        <f t="shared" si="6"/>
        <v/>
      </c>
      <c r="I60" s="27"/>
      <c r="J60" s="27"/>
      <c r="K60" s="2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row>
    <row r="61" spans="1:64" ht="30" customHeight="1" x14ac:dyDescent="0.25">
      <c r="G61" s="6"/>
    </row>
    <row r="62" spans="1:64" ht="30" customHeight="1" x14ac:dyDescent="0.25">
      <c r="C62" s="11"/>
      <c r="F62" s="32"/>
    </row>
    <row r="63" spans="1:64" ht="30" customHeight="1" x14ac:dyDescent="0.25">
      <c r="C63" s="12"/>
    </row>
  </sheetData>
  <mergeCells count="11">
    <mergeCell ref="C3:D3"/>
    <mergeCell ref="C4:D4"/>
    <mergeCell ref="AK4:AQ4"/>
    <mergeCell ref="AR4:AX4"/>
    <mergeCell ref="AY4:BE4"/>
    <mergeCell ref="BF4:BL4"/>
    <mergeCell ref="E3:F3"/>
    <mergeCell ref="I4:O4"/>
    <mergeCell ref="P4:V4"/>
    <mergeCell ref="W4:AC4"/>
    <mergeCell ref="AD4:AJ4"/>
  </mergeCells>
  <conditionalFormatting sqref="D7:D60">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60">
    <cfRule type="expression" dxfId="2" priority="33">
      <formula>AND(TODAY()&gt;=I$5,TODAY()&lt;J$5)</formula>
    </cfRule>
  </conditionalFormatting>
  <conditionalFormatting sqref="I7:BL60">
    <cfRule type="expression" dxfId="1" priority="27">
      <formula>AND(task_start&lt;=I$5,ROUNDDOWN((task_end-task_start+1)*task_progress,0)+task_start-1&gt;=I$5)</formula>
    </cfRule>
    <cfRule type="expression" dxfId="0" priority="28" stopIfTrue="1">
      <formula>AND(task_end&gt;=I$5,task_start&lt;J$5)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1"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D7:D60</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ProjectSchedule</vt:lpstr>
      <vt:lpstr>Inicio_del_proyecto</vt:lpstr>
      <vt:lpstr>Semana_para_mostrar</vt:lpstr>
      <vt:lpstr>ProjectSchedule!task_end</vt:lpstr>
      <vt:lpstr>ProjectSchedule!task_progress</vt:lpstr>
      <vt:lpstr>ProjectSchedule!task_start</vt:lpstr>
      <vt:lpstr>ProjectSchedule!Títulos_a_imprimir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2026-03-29T16:23:00Z</dcterms:created>
  <dcterms:modified xsi:type="dcterms:W3CDTF">2026-03-29T16:54:39Z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